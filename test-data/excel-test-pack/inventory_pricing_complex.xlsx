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InventoryTable" displayName="InventoryTable" ref="A1:J51" headerRowCount="1">
  <autoFilter ref="A1:J51"/>
  <tableColumns count="10">
    <tableColumn id="1" name="SKU"/>
    <tableColumn id="2" name="Category"/>
    <tableColumn id="3" name="Description"/>
    <tableColumn id="4" name="UnitCostUSD"/>
    <tableColumn id="5" name="OnHandQty"/>
    <tableColumn id="6" name="ReorderQty"/>
    <tableColumn id="7" name="TargetPriceUSD"/>
    <tableColumn id="8" name="TaxedPriceUSD"/>
    <tableColumn id="9" name="TargetPriceEUR"/>
    <tableColumn id="10" name="LowStock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actionsTable" displayName="TransactionsTable" ref="A1:H121" headerRowCount="1">
  <autoFilter ref="A1:H121"/>
  <tableColumns count="8">
    <tableColumn id="1" name="TxnID"/>
    <tableColumn id="2" name="Date"/>
    <tableColumn id="3" name="SKU"/>
    <tableColumn id="4" name="Direction"/>
    <tableColumn id="5" name="Qty"/>
    <tableColumn id="6" name="UnitCostUSD"/>
    <tableColumn id="7" name="SignedQty"/>
    <tableColumn id="8" name="Signed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MarkupPct</t>
        </is>
      </c>
      <c r="B2" s="2" t="n">
        <v>0.35</v>
      </c>
    </row>
    <row r="3">
      <c r="A3" t="inlineStr">
        <is>
          <t>TaxPct</t>
        </is>
      </c>
      <c r="B3" s="2" t="n">
        <v>0.0825</v>
      </c>
    </row>
    <row r="4">
      <c r="A4" t="inlineStr">
        <is>
          <t>FX_USD_to_EUR</t>
        </is>
      </c>
      <c r="B4" s="3" t="n">
        <v>0.92</v>
      </c>
    </row>
    <row r="5">
      <c r="A5" t="inlineStr">
        <is>
          <t>LowStockThreshold</t>
        </is>
      </c>
      <c r="B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3" customWidth="1" min="4" max="4"/>
    <col width="11" customWidth="1" min="5" max="5"/>
    <col width="12" customWidth="1" min="6" max="6"/>
    <col width="24" customWidth="1" min="7" max="7"/>
    <col width="24" customWidth="1" min="8" max="8"/>
    <col width="23" customWidth="1" min="9" max="9"/>
    <col width="24" customWidth="1" min="10" max="10"/>
  </cols>
  <sheetData>
    <row r="1">
      <c r="A1" s="1" t="inlineStr">
        <is>
          <t>SKU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UnitCostUSD</t>
        </is>
      </c>
      <c r="E1" s="1" t="inlineStr">
        <is>
          <t>OnHandQty</t>
        </is>
      </c>
      <c r="F1" s="1" t="inlineStr">
        <is>
          <t>ReorderQty</t>
        </is>
      </c>
      <c r="G1" s="1" t="inlineStr">
        <is>
          <t>TargetPriceUSD</t>
        </is>
      </c>
      <c r="H1" s="1" t="inlineStr">
        <is>
          <t>TaxedPriceUSD</t>
        </is>
      </c>
      <c r="I1" s="1" t="inlineStr">
        <is>
          <t>TargetPriceEUR</t>
        </is>
      </c>
      <c r="J1" s="1" t="inlineStr">
        <is>
          <t>LowStockFlag</t>
        </is>
      </c>
    </row>
    <row r="2">
      <c r="A2" t="inlineStr">
        <is>
          <t>SKU-1001</t>
        </is>
      </c>
      <c r="B2" t="inlineStr">
        <is>
          <t>Software</t>
        </is>
      </c>
      <c r="C2" t="inlineStr">
        <is>
          <t>Item 1</t>
        </is>
      </c>
      <c r="D2" s="4" t="n">
        <v>138.48</v>
      </c>
      <c r="E2" t="n">
        <v>103</v>
      </c>
      <c r="F2" t="n">
        <v>77</v>
      </c>
      <c r="G2" s="4">
        <f>D2*(1+Assumptions!$B$2)</f>
        <v/>
      </c>
      <c r="H2" s="4">
        <f>G2*(1+Assumptions!$B$3)</f>
        <v/>
      </c>
      <c r="I2" s="4">
        <f>G2*Assumptions!$B$4</f>
        <v/>
      </c>
      <c r="J2">
        <f>IF(E2&lt;Assumptions!$B$5,"LOW","OK")</f>
        <v/>
      </c>
    </row>
    <row r="3">
      <c r="A3" t="inlineStr">
        <is>
          <t>SKU-1002</t>
        </is>
      </c>
      <c r="B3" t="inlineStr">
        <is>
          <t>Software</t>
        </is>
      </c>
      <c r="C3" t="inlineStr">
        <is>
          <t>Item 2</t>
        </is>
      </c>
      <c r="D3" s="4" t="n">
        <v>240.6</v>
      </c>
      <c r="E3" t="n">
        <v>133</v>
      </c>
      <c r="F3" t="n">
        <v>55</v>
      </c>
      <c r="G3" s="4">
        <f>D3*(1+Assumptions!$B$2)</f>
        <v/>
      </c>
      <c r="H3" s="4">
        <f>G3*(1+Assumptions!$B$3)</f>
        <v/>
      </c>
      <c r="I3" s="4">
        <f>G3*Assumptions!$B$4</f>
        <v/>
      </c>
      <c r="J3">
        <f>IF(E3&lt;Assumptions!$B$5,"LOW","OK")</f>
        <v/>
      </c>
    </row>
    <row r="4">
      <c r="A4" t="inlineStr">
        <is>
          <t>SKU-1003</t>
        </is>
      </c>
      <c r="B4" t="inlineStr">
        <is>
          <t>Software</t>
        </is>
      </c>
      <c r="C4" t="inlineStr">
        <is>
          <t>Item 3</t>
        </is>
      </c>
      <c r="D4" s="4" t="n">
        <v>188.4</v>
      </c>
      <c r="E4" t="n">
        <v>134</v>
      </c>
      <c r="F4" t="n">
        <v>62</v>
      </c>
      <c r="G4" s="4">
        <f>D4*(1+Assumptions!$B$2)</f>
        <v/>
      </c>
      <c r="H4" s="4">
        <f>G4*(1+Assumptions!$B$3)</f>
        <v/>
      </c>
      <c r="I4" s="4">
        <f>G4*Assumptions!$B$4</f>
        <v/>
      </c>
      <c r="J4">
        <f>IF(E4&lt;Assumptions!$B$5,"LOW","OK")</f>
        <v/>
      </c>
    </row>
    <row r="5">
      <c r="A5" t="inlineStr">
        <is>
          <t>SKU-1004</t>
        </is>
      </c>
      <c r="B5" t="inlineStr">
        <is>
          <t>Accessory</t>
        </is>
      </c>
      <c r="C5" t="inlineStr">
        <is>
          <t>Item 4</t>
        </is>
      </c>
      <c r="D5" s="4" t="n">
        <v>126.78</v>
      </c>
      <c r="E5" t="n">
        <v>127</v>
      </c>
      <c r="F5" t="n">
        <v>26</v>
      </c>
      <c r="G5" s="4">
        <f>D5*(1+Assumptions!$B$2)</f>
        <v/>
      </c>
      <c r="H5" s="4">
        <f>G5*(1+Assumptions!$B$3)</f>
        <v/>
      </c>
      <c r="I5" s="4">
        <f>G5*Assumptions!$B$4</f>
        <v/>
      </c>
      <c r="J5">
        <f>IF(E5&lt;Assumptions!$B$5,"LOW","OK")</f>
        <v/>
      </c>
    </row>
    <row r="6">
      <c r="A6" t="inlineStr">
        <is>
          <t>SKU-1005</t>
        </is>
      </c>
      <c r="B6" t="inlineStr">
        <is>
          <t>Hardware</t>
        </is>
      </c>
      <c r="C6" t="inlineStr">
        <is>
          <t>Item 5</t>
        </is>
      </c>
      <c r="D6" s="4" t="n">
        <v>53.31</v>
      </c>
      <c r="E6" t="n">
        <v>94</v>
      </c>
      <c r="F6" t="n">
        <v>48</v>
      </c>
      <c r="G6" s="4">
        <f>D6*(1+Assumptions!$B$2)</f>
        <v/>
      </c>
      <c r="H6" s="4">
        <f>G6*(1+Assumptions!$B$3)</f>
        <v/>
      </c>
      <c r="I6" s="4">
        <f>G6*Assumptions!$B$4</f>
        <v/>
      </c>
      <c r="J6">
        <f>IF(E6&lt;Assumptions!$B$5,"LOW","OK")</f>
        <v/>
      </c>
    </row>
    <row r="7">
      <c r="A7" t="inlineStr">
        <is>
          <t>SKU-1006</t>
        </is>
      </c>
      <c r="B7" t="inlineStr">
        <is>
          <t>Hardware</t>
        </is>
      </c>
      <c r="C7" t="inlineStr">
        <is>
          <t>Item 6</t>
        </is>
      </c>
      <c r="D7" s="4" t="n">
        <v>151.89</v>
      </c>
      <c r="E7" t="n">
        <v>105</v>
      </c>
      <c r="F7" t="n">
        <v>58</v>
      </c>
      <c r="G7" s="4">
        <f>D7*(1+Assumptions!$B$2)</f>
        <v/>
      </c>
      <c r="H7" s="4">
        <f>G7*(1+Assumptions!$B$3)</f>
        <v/>
      </c>
      <c r="I7" s="4">
        <f>G7*Assumptions!$B$4</f>
        <v/>
      </c>
      <c r="J7">
        <f>IF(E7&lt;Assumptions!$B$5,"LOW","OK")</f>
        <v/>
      </c>
    </row>
    <row r="8">
      <c r="A8" t="inlineStr">
        <is>
          <t>SKU-1007</t>
        </is>
      </c>
      <c r="B8" t="inlineStr">
        <is>
          <t>Software</t>
        </is>
      </c>
      <c r="C8" t="inlineStr">
        <is>
          <t>Item 7</t>
        </is>
      </c>
      <c r="D8" s="4" t="n">
        <v>76.28</v>
      </c>
      <c r="E8" t="n">
        <v>6</v>
      </c>
      <c r="F8" t="n">
        <v>50</v>
      </c>
      <c r="G8" s="4">
        <f>D8*(1+Assumptions!$B$2)</f>
        <v/>
      </c>
      <c r="H8" s="4">
        <f>G8*(1+Assumptions!$B$3)</f>
        <v/>
      </c>
      <c r="I8" s="4">
        <f>G8*Assumptions!$B$4</f>
        <v/>
      </c>
      <c r="J8">
        <f>IF(E8&lt;Assumptions!$B$5,"LOW","OK")</f>
        <v/>
      </c>
    </row>
    <row r="9">
      <c r="A9" t="inlineStr">
        <is>
          <t>SKU-1008</t>
        </is>
      </c>
      <c r="B9" t="inlineStr">
        <is>
          <t>Software</t>
        </is>
      </c>
      <c r="C9" t="inlineStr">
        <is>
          <t>Item 8</t>
        </is>
      </c>
      <c r="D9" s="4" t="n">
        <v>51.28</v>
      </c>
      <c r="E9" t="n">
        <v>4</v>
      </c>
      <c r="F9" t="n">
        <v>37</v>
      </c>
      <c r="G9" s="4">
        <f>D9*(1+Assumptions!$B$2)</f>
        <v/>
      </c>
      <c r="H9" s="4">
        <f>G9*(1+Assumptions!$B$3)</f>
        <v/>
      </c>
      <c r="I9" s="4">
        <f>G9*Assumptions!$B$4</f>
        <v/>
      </c>
      <c r="J9">
        <f>IF(E9&lt;Assumptions!$B$5,"LOW","OK")</f>
        <v/>
      </c>
    </row>
    <row r="10">
      <c r="A10" t="inlineStr">
        <is>
          <t>SKU-1009</t>
        </is>
      </c>
      <c r="B10" t="inlineStr">
        <is>
          <t>Software</t>
        </is>
      </c>
      <c r="C10" t="inlineStr">
        <is>
          <t>Item 9</t>
        </is>
      </c>
      <c r="D10" s="4" t="n">
        <v>194.22</v>
      </c>
      <c r="E10" t="n">
        <v>37</v>
      </c>
      <c r="F10" t="n">
        <v>67</v>
      </c>
      <c r="G10" s="4">
        <f>D10*(1+Assumptions!$B$2)</f>
        <v/>
      </c>
      <c r="H10" s="4">
        <f>G10*(1+Assumptions!$B$3)</f>
        <v/>
      </c>
      <c r="I10" s="4">
        <f>G10*Assumptions!$B$4</f>
        <v/>
      </c>
      <c r="J10">
        <f>IF(E10&lt;Assumptions!$B$5,"LOW","OK")</f>
        <v/>
      </c>
    </row>
    <row r="11">
      <c r="A11" t="inlineStr">
        <is>
          <t>SKU-1010</t>
        </is>
      </c>
      <c r="B11" t="inlineStr">
        <is>
          <t>Accessory</t>
        </is>
      </c>
      <c r="C11" t="inlineStr">
        <is>
          <t>Item 10</t>
        </is>
      </c>
      <c r="D11" s="4" t="n">
        <v>162.97</v>
      </c>
      <c r="E11" t="n">
        <v>77</v>
      </c>
      <c r="F11" t="n">
        <v>60</v>
      </c>
      <c r="G11" s="4">
        <f>D11*(1+Assumptions!$B$2)</f>
        <v/>
      </c>
      <c r="H11" s="4">
        <f>G11*(1+Assumptions!$B$3)</f>
        <v/>
      </c>
      <c r="I11" s="4">
        <f>G11*Assumptions!$B$4</f>
        <v/>
      </c>
      <c r="J11">
        <f>IF(E11&lt;Assumptions!$B$5,"LOW","OK")</f>
        <v/>
      </c>
    </row>
    <row r="12">
      <c r="A12" t="inlineStr">
        <is>
          <t>SKU-1011</t>
        </is>
      </c>
      <c r="B12" t="inlineStr">
        <is>
          <t>Accessory</t>
        </is>
      </c>
      <c r="C12" t="inlineStr">
        <is>
          <t>Item 11</t>
        </is>
      </c>
      <c r="D12" s="4" t="n">
        <v>37.29</v>
      </c>
      <c r="E12" t="n">
        <v>58</v>
      </c>
      <c r="F12" t="n">
        <v>66</v>
      </c>
      <c r="G12" s="4">
        <f>D12*(1+Assumptions!$B$2)</f>
        <v/>
      </c>
      <c r="H12" s="4">
        <f>G12*(1+Assumptions!$B$3)</f>
        <v/>
      </c>
      <c r="I12" s="4">
        <f>G12*Assumptions!$B$4</f>
        <v/>
      </c>
      <c r="J12">
        <f>IF(E12&lt;Assumptions!$B$5,"LOW","OK")</f>
        <v/>
      </c>
    </row>
    <row r="13">
      <c r="A13" t="inlineStr">
        <is>
          <t>SKU-1012</t>
        </is>
      </c>
      <c r="B13" t="inlineStr">
        <is>
          <t>Consumable</t>
        </is>
      </c>
      <c r="C13" t="inlineStr">
        <is>
          <t>Item 12</t>
        </is>
      </c>
      <c r="D13" s="4" t="n">
        <v>122.72</v>
      </c>
      <c r="E13" t="n">
        <v>119</v>
      </c>
      <c r="F13" t="n">
        <v>69</v>
      </c>
      <c r="G13" s="4">
        <f>D13*(1+Assumptions!$B$2)</f>
        <v/>
      </c>
      <c r="H13" s="4">
        <f>G13*(1+Assumptions!$B$3)</f>
        <v/>
      </c>
      <c r="I13" s="4">
        <f>G13*Assumptions!$B$4</f>
        <v/>
      </c>
      <c r="J13">
        <f>IF(E13&lt;Assumptions!$B$5,"LOW","OK")</f>
        <v/>
      </c>
    </row>
    <row r="14">
      <c r="A14" t="inlineStr">
        <is>
          <t>SKU-1013</t>
        </is>
      </c>
      <c r="B14" t="inlineStr">
        <is>
          <t>Consumable</t>
        </is>
      </c>
      <c r="C14" t="inlineStr">
        <is>
          <t>Item 13</t>
        </is>
      </c>
      <c r="D14" s="4" t="n">
        <v>220.83</v>
      </c>
      <c r="E14" t="n">
        <v>118</v>
      </c>
      <c r="F14" t="n">
        <v>26</v>
      </c>
      <c r="G14" s="4">
        <f>D14*(1+Assumptions!$B$2)</f>
        <v/>
      </c>
      <c r="H14" s="4">
        <f>G14*(1+Assumptions!$B$3)</f>
        <v/>
      </c>
      <c r="I14" s="4">
        <f>G14*Assumptions!$B$4</f>
        <v/>
      </c>
      <c r="J14">
        <f>IF(E14&lt;Assumptions!$B$5,"LOW","OK")</f>
        <v/>
      </c>
    </row>
    <row r="15">
      <c r="A15" t="inlineStr">
        <is>
          <t>SKU-1014</t>
        </is>
      </c>
      <c r="B15" t="inlineStr">
        <is>
          <t>Software</t>
        </is>
      </c>
      <c r="C15" t="inlineStr">
        <is>
          <t>Item 14</t>
        </is>
      </c>
      <c r="D15" s="4" t="n">
        <v>239.99</v>
      </c>
      <c r="E15" t="n">
        <v>62</v>
      </c>
      <c r="F15" t="n">
        <v>28</v>
      </c>
      <c r="G15" s="4">
        <f>D15*(1+Assumptions!$B$2)</f>
        <v/>
      </c>
      <c r="H15" s="4">
        <f>G15*(1+Assumptions!$B$3)</f>
        <v/>
      </c>
      <c r="I15" s="4">
        <f>G15*Assumptions!$B$4</f>
        <v/>
      </c>
      <c r="J15">
        <f>IF(E15&lt;Assumptions!$B$5,"LOW","OK")</f>
        <v/>
      </c>
    </row>
    <row r="16">
      <c r="A16" t="inlineStr">
        <is>
          <t>SKU-1015</t>
        </is>
      </c>
      <c r="B16" t="inlineStr">
        <is>
          <t>Hardware</t>
        </is>
      </c>
      <c r="C16" t="inlineStr">
        <is>
          <t>Item 15</t>
        </is>
      </c>
      <c r="D16" s="4" t="n">
        <v>75.26000000000001</v>
      </c>
      <c r="E16" t="n">
        <v>13</v>
      </c>
      <c r="F16" t="n">
        <v>54</v>
      </c>
      <c r="G16" s="4">
        <f>D16*(1+Assumptions!$B$2)</f>
        <v/>
      </c>
      <c r="H16" s="4">
        <f>G16*(1+Assumptions!$B$3)</f>
        <v/>
      </c>
      <c r="I16" s="4">
        <f>G16*Assumptions!$B$4</f>
        <v/>
      </c>
      <c r="J16">
        <f>IF(E16&lt;Assumptions!$B$5,"LOW","OK")</f>
        <v/>
      </c>
    </row>
    <row r="17">
      <c r="A17" t="inlineStr">
        <is>
          <t>SKU-1016</t>
        </is>
      </c>
      <c r="B17" t="inlineStr">
        <is>
          <t>Software</t>
        </is>
      </c>
      <c r="C17" t="inlineStr">
        <is>
          <t>Item 16</t>
        </is>
      </c>
      <c r="D17" s="4" t="n">
        <v>227.53</v>
      </c>
      <c r="E17" t="n">
        <v>110</v>
      </c>
      <c r="F17" t="n">
        <v>19</v>
      </c>
      <c r="G17" s="4">
        <f>D17*(1+Assumptions!$B$2)</f>
        <v/>
      </c>
      <c r="H17" s="4">
        <f>G17*(1+Assumptions!$B$3)</f>
        <v/>
      </c>
      <c r="I17" s="4">
        <f>G17*Assumptions!$B$4</f>
        <v/>
      </c>
      <c r="J17">
        <f>IF(E17&lt;Assumptions!$B$5,"LOW","OK")</f>
        <v/>
      </c>
    </row>
    <row r="18">
      <c r="A18" t="inlineStr">
        <is>
          <t>SKU-1017</t>
        </is>
      </c>
      <c r="B18" t="inlineStr">
        <is>
          <t>Consumable</t>
        </is>
      </c>
      <c r="C18" t="inlineStr">
        <is>
          <t>Item 17</t>
        </is>
      </c>
      <c r="D18" s="4" t="n">
        <v>89.98</v>
      </c>
      <c r="E18" t="n">
        <v>131</v>
      </c>
      <c r="F18" t="n">
        <v>80</v>
      </c>
      <c r="G18" s="4">
        <f>D18*(1+Assumptions!$B$2)</f>
        <v/>
      </c>
      <c r="H18" s="4">
        <f>G18*(1+Assumptions!$B$3)</f>
        <v/>
      </c>
      <c r="I18" s="4">
        <f>G18*Assumptions!$B$4</f>
        <v/>
      </c>
      <c r="J18">
        <f>IF(E18&lt;Assumptions!$B$5,"LOW","OK")</f>
        <v/>
      </c>
    </row>
    <row r="19">
      <c r="A19" t="inlineStr">
        <is>
          <t>SKU-1018</t>
        </is>
      </c>
      <c r="B19" t="inlineStr">
        <is>
          <t>Software</t>
        </is>
      </c>
      <c r="C19" t="inlineStr">
        <is>
          <t>Item 18</t>
        </is>
      </c>
      <c r="D19" s="4" t="n">
        <v>12.05</v>
      </c>
      <c r="E19" t="n">
        <v>122</v>
      </c>
      <c r="F19" t="n">
        <v>18</v>
      </c>
      <c r="G19" s="4">
        <f>D19*(1+Assumptions!$B$2)</f>
        <v/>
      </c>
      <c r="H19" s="4">
        <f>G19*(1+Assumptions!$B$3)</f>
        <v/>
      </c>
      <c r="I19" s="4">
        <f>G19*Assumptions!$B$4</f>
        <v/>
      </c>
      <c r="J19">
        <f>IF(E19&lt;Assumptions!$B$5,"LOW","OK")</f>
        <v/>
      </c>
    </row>
    <row r="20">
      <c r="A20" t="inlineStr">
        <is>
          <t>SKU-1019</t>
        </is>
      </c>
      <c r="B20" t="inlineStr">
        <is>
          <t>Consumable</t>
        </is>
      </c>
      <c r="C20" t="inlineStr">
        <is>
          <t>Item 19</t>
        </is>
      </c>
      <c r="D20" s="4" t="n">
        <v>84.2</v>
      </c>
      <c r="E20" t="n">
        <v>79</v>
      </c>
      <c r="F20" t="n">
        <v>74</v>
      </c>
      <c r="G20" s="4">
        <f>D20*(1+Assumptions!$B$2)</f>
        <v/>
      </c>
      <c r="H20" s="4">
        <f>G20*(1+Assumptions!$B$3)</f>
        <v/>
      </c>
      <c r="I20" s="4">
        <f>G20*Assumptions!$B$4</f>
        <v/>
      </c>
      <c r="J20">
        <f>IF(E20&lt;Assumptions!$B$5,"LOW","OK")</f>
        <v/>
      </c>
    </row>
    <row r="21">
      <c r="A21" t="inlineStr">
        <is>
          <t>SKU-1020</t>
        </is>
      </c>
      <c r="B21" t="inlineStr">
        <is>
          <t>Accessory</t>
        </is>
      </c>
      <c r="C21" t="inlineStr">
        <is>
          <t>Item 20</t>
        </is>
      </c>
      <c r="D21" s="4" t="n">
        <v>4.74</v>
      </c>
      <c r="E21" t="n">
        <v>25</v>
      </c>
      <c r="F21" t="n">
        <v>28</v>
      </c>
      <c r="G21" s="4">
        <f>D21*(1+Assumptions!$B$2)</f>
        <v/>
      </c>
      <c r="H21" s="4">
        <f>G21*(1+Assumptions!$B$3)</f>
        <v/>
      </c>
      <c r="I21" s="4">
        <f>G21*Assumptions!$B$4</f>
        <v/>
      </c>
      <c r="J21">
        <f>IF(E21&lt;Assumptions!$B$5,"LOW","OK")</f>
        <v/>
      </c>
    </row>
    <row r="22">
      <c r="A22" t="inlineStr">
        <is>
          <t>SKU-1021</t>
        </is>
      </c>
      <c r="B22" t="inlineStr">
        <is>
          <t>Consumable</t>
        </is>
      </c>
      <c r="C22" t="inlineStr">
        <is>
          <t>Item 21</t>
        </is>
      </c>
      <c r="D22" s="4" t="n">
        <v>16.85</v>
      </c>
      <c r="E22" t="n">
        <v>130</v>
      </c>
      <c r="F22" t="n">
        <v>37</v>
      </c>
      <c r="G22" s="4">
        <f>D22*(1+Assumptions!$B$2)</f>
        <v/>
      </c>
      <c r="H22" s="4">
        <f>G22*(1+Assumptions!$B$3)</f>
        <v/>
      </c>
      <c r="I22" s="4">
        <f>G22*Assumptions!$B$4</f>
        <v/>
      </c>
      <c r="J22">
        <f>IF(E22&lt;Assumptions!$B$5,"LOW","OK")</f>
        <v/>
      </c>
    </row>
    <row r="23">
      <c r="A23" t="inlineStr">
        <is>
          <t>SKU-1022</t>
        </is>
      </c>
      <c r="B23" t="inlineStr">
        <is>
          <t>Consumable</t>
        </is>
      </c>
      <c r="C23" t="inlineStr">
        <is>
          <t>Item 22</t>
        </is>
      </c>
      <c r="D23" s="4" t="n">
        <v>7.99</v>
      </c>
      <c r="E23" t="n">
        <v>103</v>
      </c>
      <c r="F23" t="n">
        <v>52</v>
      </c>
      <c r="G23" s="4">
        <f>D23*(1+Assumptions!$B$2)</f>
        <v/>
      </c>
      <c r="H23" s="4">
        <f>G23*(1+Assumptions!$B$3)</f>
        <v/>
      </c>
      <c r="I23" s="4">
        <f>G23*Assumptions!$B$4</f>
        <v/>
      </c>
      <c r="J23">
        <f>IF(E23&lt;Assumptions!$B$5,"LOW","OK")</f>
        <v/>
      </c>
    </row>
    <row r="24">
      <c r="A24" t="inlineStr">
        <is>
          <t>SKU-1023</t>
        </is>
      </c>
      <c r="B24" t="inlineStr">
        <is>
          <t>Software</t>
        </is>
      </c>
      <c r="C24" t="inlineStr">
        <is>
          <t>Item 23</t>
        </is>
      </c>
      <c r="D24" s="4" t="n">
        <v>88.04000000000001</v>
      </c>
      <c r="E24" t="n">
        <v>83</v>
      </c>
      <c r="F24" t="n">
        <v>46</v>
      </c>
      <c r="G24" s="4">
        <f>D24*(1+Assumptions!$B$2)</f>
        <v/>
      </c>
      <c r="H24" s="4">
        <f>G24*(1+Assumptions!$B$3)</f>
        <v/>
      </c>
      <c r="I24" s="4">
        <f>G24*Assumptions!$B$4</f>
        <v/>
      </c>
      <c r="J24">
        <f>IF(E24&lt;Assumptions!$B$5,"LOW","OK")</f>
        <v/>
      </c>
    </row>
    <row r="25">
      <c r="A25" t="inlineStr">
        <is>
          <t>SKU-1024</t>
        </is>
      </c>
      <c r="B25" t="inlineStr">
        <is>
          <t>Consumable</t>
        </is>
      </c>
      <c r="C25" t="inlineStr">
        <is>
          <t>Item 24</t>
        </is>
      </c>
      <c r="D25" s="4" t="n">
        <v>14.63</v>
      </c>
      <c r="E25" t="n">
        <v>132</v>
      </c>
      <c r="F25" t="n">
        <v>25</v>
      </c>
      <c r="G25" s="4">
        <f>D25*(1+Assumptions!$B$2)</f>
        <v/>
      </c>
      <c r="H25" s="4">
        <f>G25*(1+Assumptions!$B$3)</f>
        <v/>
      </c>
      <c r="I25" s="4">
        <f>G25*Assumptions!$B$4</f>
        <v/>
      </c>
      <c r="J25">
        <f>IF(E25&lt;Assumptions!$B$5,"LOW","OK")</f>
        <v/>
      </c>
    </row>
    <row r="26">
      <c r="A26" t="inlineStr">
        <is>
          <t>SKU-1025</t>
        </is>
      </c>
      <c r="B26" t="inlineStr">
        <is>
          <t>Software</t>
        </is>
      </c>
      <c r="C26" t="inlineStr">
        <is>
          <t>Item 25</t>
        </is>
      </c>
      <c r="D26" s="4" t="n">
        <v>190.11</v>
      </c>
      <c r="E26" t="n">
        <v>110</v>
      </c>
      <c r="F26" t="n">
        <v>75</v>
      </c>
      <c r="G26" s="4">
        <f>D26*(1+Assumptions!$B$2)</f>
        <v/>
      </c>
      <c r="H26" s="4">
        <f>G26*(1+Assumptions!$B$3)</f>
        <v/>
      </c>
      <c r="I26" s="4">
        <f>G26*Assumptions!$B$4</f>
        <v/>
      </c>
      <c r="J26">
        <f>IF(E26&lt;Assumptions!$B$5,"LOW","OK")</f>
        <v/>
      </c>
    </row>
    <row r="27">
      <c r="A27" t="inlineStr">
        <is>
          <t>SKU-1026</t>
        </is>
      </c>
      <c r="B27" t="inlineStr">
        <is>
          <t>Hardware</t>
        </is>
      </c>
      <c r="C27" t="inlineStr">
        <is>
          <t>Item 26</t>
        </is>
      </c>
      <c r="D27" s="4" t="n">
        <v>167.25</v>
      </c>
      <c r="E27" t="n">
        <v>140</v>
      </c>
      <c r="F27" t="n">
        <v>74</v>
      </c>
      <c r="G27" s="4">
        <f>D27*(1+Assumptions!$B$2)</f>
        <v/>
      </c>
      <c r="H27" s="4">
        <f>G27*(1+Assumptions!$B$3)</f>
        <v/>
      </c>
      <c r="I27" s="4">
        <f>G27*Assumptions!$B$4</f>
        <v/>
      </c>
      <c r="J27">
        <f>IF(E27&lt;Assumptions!$B$5,"LOW","OK")</f>
        <v/>
      </c>
    </row>
    <row r="28">
      <c r="A28" t="inlineStr">
        <is>
          <t>SKU-1027</t>
        </is>
      </c>
      <c r="B28" t="inlineStr">
        <is>
          <t>Hardware</t>
        </is>
      </c>
      <c r="C28" t="inlineStr">
        <is>
          <t>Item 27</t>
        </is>
      </c>
      <c r="D28" s="4" t="n">
        <v>249.66</v>
      </c>
      <c r="E28" t="n">
        <v>39</v>
      </c>
      <c r="F28" t="n">
        <v>58</v>
      </c>
      <c r="G28" s="4">
        <f>D28*(1+Assumptions!$B$2)</f>
        <v/>
      </c>
      <c r="H28" s="4">
        <f>G28*(1+Assumptions!$B$3)</f>
        <v/>
      </c>
      <c r="I28" s="4">
        <f>G28*Assumptions!$B$4</f>
        <v/>
      </c>
      <c r="J28">
        <f>IF(E28&lt;Assumptions!$B$5,"LOW","OK")</f>
        <v/>
      </c>
    </row>
    <row r="29">
      <c r="A29" t="inlineStr">
        <is>
          <t>SKU-1028</t>
        </is>
      </c>
      <c r="B29" t="inlineStr">
        <is>
          <t>Consumable</t>
        </is>
      </c>
      <c r="C29" t="inlineStr">
        <is>
          <t>Item 28</t>
        </is>
      </c>
      <c r="D29" s="4" t="n">
        <v>165.83</v>
      </c>
      <c r="E29" t="n">
        <v>112</v>
      </c>
      <c r="F29" t="n">
        <v>44</v>
      </c>
      <c r="G29" s="4">
        <f>D29*(1+Assumptions!$B$2)</f>
        <v/>
      </c>
      <c r="H29" s="4">
        <f>G29*(1+Assumptions!$B$3)</f>
        <v/>
      </c>
      <c r="I29" s="4">
        <f>G29*Assumptions!$B$4</f>
        <v/>
      </c>
      <c r="J29">
        <f>IF(E29&lt;Assumptions!$B$5,"LOW","OK")</f>
        <v/>
      </c>
    </row>
    <row r="30">
      <c r="A30" t="inlineStr">
        <is>
          <t>SKU-1029</t>
        </is>
      </c>
      <c r="B30" t="inlineStr">
        <is>
          <t>Accessory</t>
        </is>
      </c>
      <c r="C30" t="inlineStr">
        <is>
          <t>Item 29</t>
        </is>
      </c>
      <c r="D30" s="4" t="n">
        <v>37.27</v>
      </c>
      <c r="E30" t="n">
        <v>50</v>
      </c>
      <c r="F30" t="n">
        <v>21</v>
      </c>
      <c r="G30" s="4">
        <f>D30*(1+Assumptions!$B$2)</f>
        <v/>
      </c>
      <c r="H30" s="4">
        <f>G30*(1+Assumptions!$B$3)</f>
        <v/>
      </c>
      <c r="I30" s="4">
        <f>G30*Assumptions!$B$4</f>
        <v/>
      </c>
      <c r="J30">
        <f>IF(E30&lt;Assumptions!$B$5,"LOW","OK")</f>
        <v/>
      </c>
    </row>
    <row r="31">
      <c r="A31" t="inlineStr">
        <is>
          <t>SKU-1030</t>
        </is>
      </c>
      <c r="B31" t="inlineStr">
        <is>
          <t>Software</t>
        </is>
      </c>
      <c r="C31" t="inlineStr">
        <is>
          <t>Item 30</t>
        </is>
      </c>
      <c r="D31" s="4" t="n">
        <v>70.39</v>
      </c>
      <c r="E31" t="n">
        <v>56</v>
      </c>
      <c r="F31" t="n">
        <v>15</v>
      </c>
      <c r="G31" s="4">
        <f>D31*(1+Assumptions!$B$2)</f>
        <v/>
      </c>
      <c r="H31" s="4">
        <f>G31*(1+Assumptions!$B$3)</f>
        <v/>
      </c>
      <c r="I31" s="4">
        <f>G31*Assumptions!$B$4</f>
        <v/>
      </c>
      <c r="J31">
        <f>IF(E31&lt;Assumptions!$B$5,"LOW","OK")</f>
        <v/>
      </c>
    </row>
    <row r="32">
      <c r="A32" t="inlineStr">
        <is>
          <t>SKU-1031</t>
        </is>
      </c>
      <c r="B32" t="inlineStr">
        <is>
          <t>Hardware</t>
        </is>
      </c>
      <c r="C32" t="inlineStr">
        <is>
          <t>Item 31</t>
        </is>
      </c>
      <c r="D32" s="4" t="n">
        <v>77.12</v>
      </c>
      <c r="E32" t="n">
        <v>34</v>
      </c>
      <c r="F32" t="n">
        <v>34</v>
      </c>
      <c r="G32" s="4">
        <f>D32*(1+Assumptions!$B$2)</f>
        <v/>
      </c>
      <c r="H32" s="4">
        <f>G32*(1+Assumptions!$B$3)</f>
        <v/>
      </c>
      <c r="I32" s="4">
        <f>G32*Assumptions!$B$4</f>
        <v/>
      </c>
      <c r="J32">
        <f>IF(E32&lt;Assumptions!$B$5,"LOW","OK")</f>
        <v/>
      </c>
    </row>
    <row r="33">
      <c r="A33" t="inlineStr">
        <is>
          <t>SKU-1032</t>
        </is>
      </c>
      <c r="B33" t="inlineStr">
        <is>
          <t>Software</t>
        </is>
      </c>
      <c r="C33" t="inlineStr">
        <is>
          <t>Item 32</t>
        </is>
      </c>
      <c r="D33" s="4" t="n">
        <v>143.19</v>
      </c>
      <c r="E33" t="n">
        <v>106</v>
      </c>
      <c r="F33" t="n">
        <v>29</v>
      </c>
      <c r="G33" s="4">
        <f>D33*(1+Assumptions!$B$2)</f>
        <v/>
      </c>
      <c r="H33" s="4">
        <f>G33*(1+Assumptions!$B$3)</f>
        <v/>
      </c>
      <c r="I33" s="4">
        <f>G33*Assumptions!$B$4</f>
        <v/>
      </c>
      <c r="J33">
        <f>IF(E33&lt;Assumptions!$B$5,"LOW","OK")</f>
        <v/>
      </c>
    </row>
    <row r="34">
      <c r="A34" t="inlineStr">
        <is>
          <t>SKU-1033</t>
        </is>
      </c>
      <c r="B34" t="inlineStr">
        <is>
          <t>Software</t>
        </is>
      </c>
      <c r="C34" t="inlineStr">
        <is>
          <t>Item 33</t>
        </is>
      </c>
      <c r="D34" s="4" t="n">
        <v>137.67</v>
      </c>
      <c r="E34" t="n">
        <v>65</v>
      </c>
      <c r="F34" t="n">
        <v>36</v>
      </c>
      <c r="G34" s="4">
        <f>D34*(1+Assumptions!$B$2)</f>
        <v/>
      </c>
      <c r="H34" s="4">
        <f>G34*(1+Assumptions!$B$3)</f>
        <v/>
      </c>
      <c r="I34" s="4">
        <f>G34*Assumptions!$B$4</f>
        <v/>
      </c>
      <c r="J34">
        <f>IF(E34&lt;Assumptions!$B$5,"LOW","OK")</f>
        <v/>
      </c>
    </row>
    <row r="35">
      <c r="A35" t="inlineStr">
        <is>
          <t>SKU-1034</t>
        </is>
      </c>
      <c r="B35" t="inlineStr">
        <is>
          <t>Hardware</t>
        </is>
      </c>
      <c r="C35" t="inlineStr">
        <is>
          <t>Item 34</t>
        </is>
      </c>
      <c r="D35" s="4" t="n">
        <v>247.77</v>
      </c>
      <c r="E35" t="n">
        <v>41</v>
      </c>
      <c r="F35" t="n">
        <v>14</v>
      </c>
      <c r="G35" s="4">
        <f>D35*(1+Assumptions!$B$2)</f>
        <v/>
      </c>
      <c r="H35" s="4">
        <f>G35*(1+Assumptions!$B$3)</f>
        <v/>
      </c>
      <c r="I35" s="4">
        <f>G35*Assumptions!$B$4</f>
        <v/>
      </c>
      <c r="J35">
        <f>IF(E35&lt;Assumptions!$B$5,"LOW","OK")</f>
        <v/>
      </c>
    </row>
    <row r="36">
      <c r="A36" t="inlineStr">
        <is>
          <t>SKU-1035</t>
        </is>
      </c>
      <c r="B36" t="inlineStr">
        <is>
          <t>Consumable</t>
        </is>
      </c>
      <c r="C36" t="inlineStr">
        <is>
          <t>Item 35</t>
        </is>
      </c>
      <c r="D36" s="4" t="n">
        <v>182.36</v>
      </c>
      <c r="E36" t="n">
        <v>16</v>
      </c>
      <c r="F36" t="n">
        <v>38</v>
      </c>
      <c r="G36" s="4">
        <f>D36*(1+Assumptions!$B$2)</f>
        <v/>
      </c>
      <c r="H36" s="4">
        <f>G36*(1+Assumptions!$B$3)</f>
        <v/>
      </c>
      <c r="I36" s="4">
        <f>G36*Assumptions!$B$4</f>
        <v/>
      </c>
      <c r="J36">
        <f>IF(E36&lt;Assumptions!$B$5,"LOW","OK")</f>
        <v/>
      </c>
    </row>
    <row r="37">
      <c r="A37" t="inlineStr">
        <is>
          <t>SKU-1036</t>
        </is>
      </c>
      <c r="B37" t="inlineStr">
        <is>
          <t>Software</t>
        </is>
      </c>
      <c r="C37" t="inlineStr">
        <is>
          <t>Item 36</t>
        </is>
      </c>
      <c r="D37" s="4" t="n">
        <v>228.95</v>
      </c>
      <c r="E37" t="n">
        <v>42</v>
      </c>
      <c r="F37" t="n">
        <v>73</v>
      </c>
      <c r="G37" s="4">
        <f>D37*(1+Assumptions!$B$2)</f>
        <v/>
      </c>
      <c r="H37" s="4">
        <f>G37*(1+Assumptions!$B$3)</f>
        <v/>
      </c>
      <c r="I37" s="4">
        <f>G37*Assumptions!$B$4</f>
        <v/>
      </c>
      <c r="J37">
        <f>IF(E37&lt;Assumptions!$B$5,"LOW","OK")</f>
        <v/>
      </c>
    </row>
    <row r="38">
      <c r="A38" t="inlineStr">
        <is>
          <t>SKU-1037</t>
        </is>
      </c>
      <c r="B38" t="inlineStr">
        <is>
          <t>Hardware</t>
        </is>
      </c>
      <c r="C38" t="inlineStr">
        <is>
          <t>Item 37</t>
        </is>
      </c>
      <c r="D38" s="4" t="n">
        <v>21.83</v>
      </c>
      <c r="E38" t="n">
        <v>117</v>
      </c>
      <c r="F38" t="n">
        <v>53</v>
      </c>
      <c r="G38" s="4">
        <f>D38*(1+Assumptions!$B$2)</f>
        <v/>
      </c>
      <c r="H38" s="4">
        <f>G38*(1+Assumptions!$B$3)</f>
        <v/>
      </c>
      <c r="I38" s="4">
        <f>G38*Assumptions!$B$4</f>
        <v/>
      </c>
      <c r="J38">
        <f>IF(E38&lt;Assumptions!$B$5,"LOW","OK")</f>
        <v/>
      </c>
    </row>
    <row r="39">
      <c r="A39" t="inlineStr">
        <is>
          <t>SKU-1038</t>
        </is>
      </c>
      <c r="B39" t="inlineStr">
        <is>
          <t>Consumable</t>
        </is>
      </c>
      <c r="C39" t="inlineStr">
        <is>
          <t>Item 38</t>
        </is>
      </c>
      <c r="D39" s="4" t="n">
        <v>212.95</v>
      </c>
      <c r="E39" t="n">
        <v>66</v>
      </c>
      <c r="F39" t="n">
        <v>80</v>
      </c>
      <c r="G39" s="4">
        <f>D39*(1+Assumptions!$B$2)</f>
        <v/>
      </c>
      <c r="H39" s="4">
        <f>G39*(1+Assumptions!$B$3)</f>
        <v/>
      </c>
      <c r="I39" s="4">
        <f>G39*Assumptions!$B$4</f>
        <v/>
      </c>
      <c r="J39">
        <f>IF(E39&lt;Assumptions!$B$5,"LOW","OK")</f>
        <v/>
      </c>
    </row>
    <row r="40">
      <c r="A40" t="inlineStr">
        <is>
          <t>SKU-1039</t>
        </is>
      </c>
      <c r="B40" t="inlineStr">
        <is>
          <t>Consumable</t>
        </is>
      </c>
      <c r="C40" t="inlineStr">
        <is>
          <t>Item 39</t>
        </is>
      </c>
      <c r="D40" s="4" t="n">
        <v>158.62</v>
      </c>
      <c r="E40" t="n">
        <v>83</v>
      </c>
      <c r="F40" t="n">
        <v>77</v>
      </c>
      <c r="G40" s="4">
        <f>D40*(1+Assumptions!$B$2)</f>
        <v/>
      </c>
      <c r="H40" s="4">
        <f>G40*(1+Assumptions!$B$3)</f>
        <v/>
      </c>
      <c r="I40" s="4">
        <f>G40*Assumptions!$B$4</f>
        <v/>
      </c>
      <c r="J40">
        <f>IF(E40&lt;Assumptions!$B$5,"LOW","OK")</f>
        <v/>
      </c>
    </row>
    <row r="41">
      <c r="A41" t="inlineStr">
        <is>
          <t>SKU-1040</t>
        </is>
      </c>
      <c r="B41" t="inlineStr">
        <is>
          <t>Accessory</t>
        </is>
      </c>
      <c r="C41" t="inlineStr">
        <is>
          <t>Item 40</t>
        </is>
      </c>
      <c r="D41" s="4" t="n">
        <v>167.6</v>
      </c>
      <c r="E41" t="n">
        <v>150</v>
      </c>
      <c r="F41" t="n">
        <v>76</v>
      </c>
      <c r="G41" s="4">
        <f>D41*(1+Assumptions!$B$2)</f>
        <v/>
      </c>
      <c r="H41" s="4">
        <f>G41*(1+Assumptions!$B$3)</f>
        <v/>
      </c>
      <c r="I41" s="4">
        <f>G41*Assumptions!$B$4</f>
        <v/>
      </c>
      <c r="J41">
        <f>IF(E41&lt;Assumptions!$B$5,"LOW","OK")</f>
        <v/>
      </c>
    </row>
    <row r="42">
      <c r="A42" t="inlineStr">
        <is>
          <t>SKU-1041</t>
        </is>
      </c>
      <c r="B42" t="inlineStr">
        <is>
          <t>Consumable</t>
        </is>
      </c>
      <c r="C42" t="inlineStr">
        <is>
          <t>Item 41</t>
        </is>
      </c>
      <c r="D42" s="4" t="n">
        <v>201.93</v>
      </c>
      <c r="E42" t="n">
        <v>62</v>
      </c>
      <c r="F42" t="n">
        <v>38</v>
      </c>
      <c r="G42" s="4">
        <f>D42*(1+Assumptions!$B$2)</f>
        <v/>
      </c>
      <c r="H42" s="4">
        <f>G42*(1+Assumptions!$B$3)</f>
        <v/>
      </c>
      <c r="I42" s="4">
        <f>G42*Assumptions!$B$4</f>
        <v/>
      </c>
      <c r="J42">
        <f>IF(E42&lt;Assumptions!$B$5,"LOW","OK")</f>
        <v/>
      </c>
    </row>
    <row r="43">
      <c r="A43" t="inlineStr">
        <is>
          <t>SKU-1042</t>
        </is>
      </c>
      <c r="B43" t="inlineStr">
        <is>
          <t>Hardware</t>
        </is>
      </c>
      <c r="C43" t="inlineStr">
        <is>
          <t>Item 42</t>
        </is>
      </c>
      <c r="D43" s="4" t="n">
        <v>109.6</v>
      </c>
      <c r="E43" t="n">
        <v>69</v>
      </c>
      <c r="F43" t="n">
        <v>52</v>
      </c>
      <c r="G43" s="4">
        <f>D43*(1+Assumptions!$B$2)</f>
        <v/>
      </c>
      <c r="H43" s="4">
        <f>G43*(1+Assumptions!$B$3)</f>
        <v/>
      </c>
      <c r="I43" s="4">
        <f>G43*Assumptions!$B$4</f>
        <v/>
      </c>
      <c r="J43">
        <f>IF(E43&lt;Assumptions!$B$5,"LOW","OK")</f>
        <v/>
      </c>
    </row>
    <row r="44">
      <c r="A44" t="inlineStr">
        <is>
          <t>SKU-1043</t>
        </is>
      </c>
      <c r="B44" t="inlineStr">
        <is>
          <t>Consumable</t>
        </is>
      </c>
      <c r="C44" t="inlineStr">
        <is>
          <t>Item 43</t>
        </is>
      </c>
      <c r="D44" s="4" t="n">
        <v>125.72</v>
      </c>
      <c r="E44" t="n">
        <v>103</v>
      </c>
      <c r="F44" t="n">
        <v>16</v>
      </c>
      <c r="G44" s="4">
        <f>D44*(1+Assumptions!$B$2)</f>
        <v/>
      </c>
      <c r="H44" s="4">
        <f>G44*(1+Assumptions!$B$3)</f>
        <v/>
      </c>
      <c r="I44" s="4">
        <f>G44*Assumptions!$B$4</f>
        <v/>
      </c>
      <c r="J44">
        <f>IF(E44&lt;Assumptions!$B$5,"LOW","OK")</f>
        <v/>
      </c>
    </row>
    <row r="45">
      <c r="A45" t="inlineStr">
        <is>
          <t>SKU-1044</t>
        </is>
      </c>
      <c r="B45" t="inlineStr">
        <is>
          <t>Consumable</t>
        </is>
      </c>
      <c r="C45" t="inlineStr">
        <is>
          <t>Item 44</t>
        </is>
      </c>
      <c r="D45" s="4" t="n">
        <v>200.82</v>
      </c>
      <c r="E45" t="n">
        <v>65</v>
      </c>
      <c r="F45" t="n">
        <v>23</v>
      </c>
      <c r="G45" s="4">
        <f>D45*(1+Assumptions!$B$2)</f>
        <v/>
      </c>
      <c r="H45" s="4">
        <f>G45*(1+Assumptions!$B$3)</f>
        <v/>
      </c>
      <c r="I45" s="4">
        <f>G45*Assumptions!$B$4</f>
        <v/>
      </c>
      <c r="J45">
        <f>IF(E45&lt;Assumptions!$B$5,"LOW","OK")</f>
        <v/>
      </c>
    </row>
    <row r="46">
      <c r="A46" t="inlineStr">
        <is>
          <t>SKU-1045</t>
        </is>
      </c>
      <c r="B46" t="inlineStr">
        <is>
          <t>Accessory</t>
        </is>
      </c>
      <c r="C46" t="inlineStr">
        <is>
          <t>Item 45</t>
        </is>
      </c>
      <c r="D46" s="4" t="n">
        <v>139.64</v>
      </c>
      <c r="E46" t="n">
        <v>56</v>
      </c>
      <c r="F46" t="n">
        <v>41</v>
      </c>
      <c r="G46" s="4">
        <f>D46*(1+Assumptions!$B$2)</f>
        <v/>
      </c>
      <c r="H46" s="4">
        <f>G46*(1+Assumptions!$B$3)</f>
        <v/>
      </c>
      <c r="I46" s="4">
        <f>G46*Assumptions!$B$4</f>
        <v/>
      </c>
      <c r="J46">
        <f>IF(E46&lt;Assumptions!$B$5,"LOW","OK")</f>
        <v/>
      </c>
    </row>
    <row r="47">
      <c r="A47" t="inlineStr">
        <is>
          <t>SKU-1046</t>
        </is>
      </c>
      <c r="B47" t="inlineStr">
        <is>
          <t>Software</t>
        </is>
      </c>
      <c r="C47" t="inlineStr">
        <is>
          <t>Item 46</t>
        </is>
      </c>
      <c r="D47" s="4" t="n">
        <v>226.48</v>
      </c>
      <c r="E47" t="n">
        <v>25</v>
      </c>
      <c r="F47" t="n">
        <v>79</v>
      </c>
      <c r="G47" s="4">
        <f>D47*(1+Assumptions!$B$2)</f>
        <v/>
      </c>
      <c r="H47" s="4">
        <f>G47*(1+Assumptions!$B$3)</f>
        <v/>
      </c>
      <c r="I47" s="4">
        <f>G47*Assumptions!$B$4</f>
        <v/>
      </c>
      <c r="J47">
        <f>IF(E47&lt;Assumptions!$B$5,"LOW","OK")</f>
        <v/>
      </c>
    </row>
    <row r="48">
      <c r="A48" t="inlineStr">
        <is>
          <t>SKU-1047</t>
        </is>
      </c>
      <c r="B48" t="inlineStr">
        <is>
          <t>Consumable</t>
        </is>
      </c>
      <c r="C48" t="inlineStr">
        <is>
          <t>Item 47</t>
        </is>
      </c>
      <c r="D48" s="4" t="n">
        <v>104.34</v>
      </c>
      <c r="E48" t="n">
        <v>102</v>
      </c>
      <c r="F48" t="n">
        <v>63</v>
      </c>
      <c r="G48" s="4">
        <f>D48*(1+Assumptions!$B$2)</f>
        <v/>
      </c>
      <c r="H48" s="4">
        <f>G48*(1+Assumptions!$B$3)</f>
        <v/>
      </c>
      <c r="I48" s="4">
        <f>G48*Assumptions!$B$4</f>
        <v/>
      </c>
      <c r="J48">
        <f>IF(E48&lt;Assumptions!$B$5,"LOW","OK")</f>
        <v/>
      </c>
    </row>
    <row r="49">
      <c r="A49" t="inlineStr">
        <is>
          <t>SKU-1048</t>
        </is>
      </c>
      <c r="B49" t="inlineStr">
        <is>
          <t>Consumable</t>
        </is>
      </c>
      <c r="C49" t="inlineStr">
        <is>
          <t>Item 48</t>
        </is>
      </c>
      <c r="D49" s="4" t="n">
        <v>76.17</v>
      </c>
      <c r="E49" t="n">
        <v>62</v>
      </c>
      <c r="F49" t="n">
        <v>30</v>
      </c>
      <c r="G49" s="4">
        <f>D49*(1+Assumptions!$B$2)</f>
        <v/>
      </c>
      <c r="H49" s="4">
        <f>G49*(1+Assumptions!$B$3)</f>
        <v/>
      </c>
      <c r="I49" s="4">
        <f>G49*Assumptions!$B$4</f>
        <v/>
      </c>
      <c r="J49">
        <f>IF(E49&lt;Assumptions!$B$5,"LOW","OK")</f>
        <v/>
      </c>
    </row>
    <row r="50">
      <c r="A50" t="inlineStr">
        <is>
          <t>SKU-1049</t>
        </is>
      </c>
      <c r="B50" t="inlineStr">
        <is>
          <t>Software</t>
        </is>
      </c>
      <c r="C50" t="inlineStr">
        <is>
          <t>Item 49</t>
        </is>
      </c>
      <c r="D50" s="4" t="n">
        <v>237.23</v>
      </c>
      <c r="E50" t="n">
        <v>16</v>
      </c>
      <c r="F50" t="n">
        <v>50</v>
      </c>
      <c r="G50" s="4">
        <f>D50*(1+Assumptions!$B$2)</f>
        <v/>
      </c>
      <c r="H50" s="4">
        <f>G50*(1+Assumptions!$B$3)</f>
        <v/>
      </c>
      <c r="I50" s="4">
        <f>G50*Assumptions!$B$4</f>
        <v/>
      </c>
      <c r="J50">
        <f>IF(E50&lt;Assumptions!$B$5,"LOW","OK")</f>
        <v/>
      </c>
    </row>
    <row r="51">
      <c r="A51" t="inlineStr">
        <is>
          <t>SKU-1050</t>
        </is>
      </c>
      <c r="B51" t="inlineStr">
        <is>
          <t>Hardware</t>
        </is>
      </c>
      <c r="C51" t="inlineStr">
        <is>
          <t>Item 50</t>
        </is>
      </c>
      <c r="D51" s="4" t="n">
        <v>110.03</v>
      </c>
      <c r="E51" t="n">
        <v>110</v>
      </c>
      <c r="F51" t="n">
        <v>29</v>
      </c>
      <c r="G51" s="4">
        <f>D51*(1+Assumptions!$B$2)</f>
        <v/>
      </c>
      <c r="H51" s="4">
        <f>G51*(1+Assumptions!$B$3)</f>
        <v/>
      </c>
      <c r="I51" s="4">
        <f>G51*Assumptions!$B$4</f>
        <v/>
      </c>
      <c r="J51">
        <f>IF(E51&lt;Assumptions!$B$5,"LOW","OK")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1" customWidth="1" min="4" max="4"/>
    <col width="10" customWidth="1" min="5" max="5"/>
    <col width="13" customWidth="1" min="6" max="6"/>
    <col width="24" customWidth="1" min="7" max="7"/>
    <col width="13" customWidth="1" min="8" max="8"/>
  </cols>
  <sheetData>
    <row r="1">
      <c r="A1" s="1" t="inlineStr">
        <is>
          <t>TxnID</t>
        </is>
      </c>
      <c r="B1" s="1" t="inlineStr">
        <is>
          <t>Date</t>
        </is>
      </c>
      <c r="C1" s="1" t="inlineStr">
        <is>
          <t>SKU</t>
        </is>
      </c>
      <c r="D1" s="1" t="inlineStr">
        <is>
          <t>Direction</t>
        </is>
      </c>
      <c r="E1" s="1" t="inlineStr">
        <is>
          <t>Qty</t>
        </is>
      </c>
      <c r="F1" s="1" t="inlineStr">
        <is>
          <t>UnitCostUSD</t>
        </is>
      </c>
      <c r="G1" s="1" t="inlineStr">
        <is>
          <t>SignedQty</t>
        </is>
      </c>
      <c r="H1" s="1" t="inlineStr">
        <is>
          <t>SignedValue</t>
        </is>
      </c>
    </row>
    <row r="2">
      <c r="A2" t="inlineStr">
        <is>
          <t>TX-0001</t>
        </is>
      </c>
      <c r="B2" s="5" t="n">
        <v>45820</v>
      </c>
      <c r="C2" t="inlineStr">
        <is>
          <t>SKU-1008</t>
        </is>
      </c>
      <c r="D2" t="inlineStr">
        <is>
          <t>OUT</t>
        </is>
      </c>
      <c r="E2" t="n">
        <v>16</v>
      </c>
      <c r="F2" s="4" t="n">
        <v>244.63</v>
      </c>
      <c r="G2">
        <f>IF(D2="IN",E2,-E2)</f>
        <v/>
      </c>
      <c r="H2" s="4">
        <f>G2*F2</f>
        <v/>
      </c>
    </row>
    <row r="3">
      <c r="A3" t="inlineStr">
        <is>
          <t>TX-0002</t>
        </is>
      </c>
      <c r="B3" s="5" t="n">
        <v>45882</v>
      </c>
      <c r="C3" t="inlineStr">
        <is>
          <t>SKU-1038</t>
        </is>
      </c>
      <c r="D3" t="inlineStr">
        <is>
          <t>OUT</t>
        </is>
      </c>
      <c r="E3" t="n">
        <v>8</v>
      </c>
      <c r="F3" s="4" t="n">
        <v>122.66</v>
      </c>
      <c r="G3">
        <f>IF(D3="IN",E3,-E3)</f>
        <v/>
      </c>
      <c r="H3" s="4">
        <f>G3*F3</f>
        <v/>
      </c>
    </row>
    <row r="4">
      <c r="A4" t="inlineStr">
        <is>
          <t>TX-0003</t>
        </is>
      </c>
      <c r="B4" s="5" t="n">
        <v>45757</v>
      </c>
      <c r="C4" t="inlineStr">
        <is>
          <t>SKU-1016</t>
        </is>
      </c>
      <c r="D4" t="inlineStr">
        <is>
          <t>IN</t>
        </is>
      </c>
      <c r="E4" t="n">
        <v>13</v>
      </c>
      <c r="F4" s="4" t="n">
        <v>108.67</v>
      </c>
      <c r="G4">
        <f>IF(D4="IN",E4,-E4)</f>
        <v/>
      </c>
      <c r="H4" s="4">
        <f>G4*F4</f>
        <v/>
      </c>
    </row>
    <row r="5">
      <c r="A5" t="inlineStr">
        <is>
          <t>TX-0004</t>
        </is>
      </c>
      <c r="B5" s="5" t="n">
        <v>45827</v>
      </c>
      <c r="C5" t="inlineStr">
        <is>
          <t>SKU-1025</t>
        </is>
      </c>
      <c r="D5" t="inlineStr">
        <is>
          <t>IN</t>
        </is>
      </c>
      <c r="E5" t="n">
        <v>11</v>
      </c>
      <c r="F5" s="4" t="n">
        <v>41.48</v>
      </c>
      <c r="G5">
        <f>IF(D5="IN",E5,-E5)</f>
        <v/>
      </c>
      <c r="H5" s="4">
        <f>G5*F5</f>
        <v/>
      </c>
    </row>
    <row r="6">
      <c r="A6" t="inlineStr">
        <is>
          <t>TX-0005</t>
        </is>
      </c>
      <c r="B6" s="5" t="n">
        <v>45992</v>
      </c>
      <c r="C6" t="inlineStr">
        <is>
          <t>SKU-1010</t>
        </is>
      </c>
      <c r="D6" t="inlineStr">
        <is>
          <t>IN</t>
        </is>
      </c>
      <c r="E6" t="n">
        <v>4</v>
      </c>
      <c r="F6" s="4" t="n">
        <v>22.36</v>
      </c>
      <c r="G6">
        <f>IF(D6="IN",E6,-E6)</f>
        <v/>
      </c>
      <c r="H6" s="4">
        <f>G6*F6</f>
        <v/>
      </c>
    </row>
    <row r="7">
      <c r="A7" t="inlineStr">
        <is>
          <t>TX-0006</t>
        </is>
      </c>
      <c r="B7" s="5" t="n">
        <v>46012</v>
      </c>
      <c r="C7" t="inlineStr">
        <is>
          <t>SKU-1010</t>
        </is>
      </c>
      <c r="D7" t="inlineStr">
        <is>
          <t>OUT</t>
        </is>
      </c>
      <c r="E7" t="n">
        <v>16</v>
      </c>
      <c r="F7" s="4" t="n">
        <v>224.35</v>
      </c>
      <c r="G7">
        <f>IF(D7="IN",E7,-E7)</f>
        <v/>
      </c>
      <c r="H7" s="4">
        <f>G7*F7</f>
        <v/>
      </c>
    </row>
    <row r="8">
      <c r="A8" t="inlineStr">
        <is>
          <t>TX-0007</t>
        </is>
      </c>
      <c r="B8" s="5" t="n">
        <v>45662</v>
      </c>
      <c r="C8" t="inlineStr">
        <is>
          <t>SKU-1019</t>
        </is>
      </c>
      <c r="D8" t="inlineStr">
        <is>
          <t>IN</t>
        </is>
      </c>
      <c r="E8" t="n">
        <v>1</v>
      </c>
      <c r="F8" s="4" t="n">
        <v>118.86</v>
      </c>
      <c r="G8">
        <f>IF(D8="IN",E8,-E8)</f>
        <v/>
      </c>
      <c r="H8" s="4">
        <f>G8*F8</f>
        <v/>
      </c>
    </row>
    <row r="9">
      <c r="A9" t="inlineStr">
        <is>
          <t>TX-0008</t>
        </is>
      </c>
      <c r="B9" s="5" t="n">
        <v>46003</v>
      </c>
      <c r="C9" t="inlineStr">
        <is>
          <t>SKU-1043</t>
        </is>
      </c>
      <c r="D9" t="inlineStr">
        <is>
          <t>OUT</t>
        </is>
      </c>
      <c r="E9" t="n">
        <v>22</v>
      </c>
      <c r="F9" s="4" t="n">
        <v>172.04</v>
      </c>
      <c r="G9">
        <f>IF(D9="IN",E9,-E9)</f>
        <v/>
      </c>
      <c r="H9" s="4">
        <f>G9*F9</f>
        <v/>
      </c>
    </row>
    <row r="10">
      <c r="A10" t="inlineStr">
        <is>
          <t>TX-0009</t>
        </is>
      </c>
      <c r="B10" s="5" t="n">
        <v>45788</v>
      </c>
      <c r="C10" t="inlineStr">
        <is>
          <t>SKU-1007</t>
        </is>
      </c>
      <c r="D10" t="inlineStr">
        <is>
          <t>IN</t>
        </is>
      </c>
      <c r="E10" t="n">
        <v>2</v>
      </c>
      <c r="F10" s="4" t="n">
        <v>42.97</v>
      </c>
      <c r="G10">
        <f>IF(D10="IN",E10,-E10)</f>
        <v/>
      </c>
      <c r="H10" s="4">
        <f>G10*F10</f>
        <v/>
      </c>
    </row>
    <row r="11">
      <c r="A11" t="inlineStr">
        <is>
          <t>TX-0010</t>
        </is>
      </c>
      <c r="B11" s="5" t="n">
        <v>45677</v>
      </c>
      <c r="C11" t="inlineStr">
        <is>
          <t>SKU-1001</t>
        </is>
      </c>
      <c r="D11" t="inlineStr">
        <is>
          <t>IN</t>
        </is>
      </c>
      <c r="E11" t="n">
        <v>19</v>
      </c>
      <c r="F11" s="4" t="n">
        <v>22.42</v>
      </c>
      <c r="G11">
        <f>IF(D11="IN",E11,-E11)</f>
        <v/>
      </c>
      <c r="H11" s="4">
        <f>G11*F11</f>
        <v/>
      </c>
    </row>
    <row r="12">
      <c r="A12" t="inlineStr">
        <is>
          <t>TX-0011</t>
        </is>
      </c>
      <c r="B12" s="5" t="n">
        <v>45865</v>
      </c>
      <c r="C12" t="inlineStr">
        <is>
          <t>SKU-1032</t>
        </is>
      </c>
      <c r="D12" t="inlineStr">
        <is>
          <t>IN</t>
        </is>
      </c>
      <c r="E12" t="n">
        <v>26</v>
      </c>
      <c r="F12" s="4" t="n">
        <v>44.14</v>
      </c>
      <c r="G12">
        <f>IF(D12="IN",E12,-E12)</f>
        <v/>
      </c>
      <c r="H12" s="4">
        <f>G12*F12</f>
        <v/>
      </c>
    </row>
    <row r="13">
      <c r="A13" t="inlineStr">
        <is>
          <t>TX-0012</t>
        </is>
      </c>
      <c r="B13" s="5" t="n">
        <v>45957</v>
      </c>
      <c r="C13" t="inlineStr">
        <is>
          <t>SKU-1034</t>
        </is>
      </c>
      <c r="D13" t="inlineStr">
        <is>
          <t>IN</t>
        </is>
      </c>
      <c r="E13" t="n">
        <v>9</v>
      </c>
      <c r="F13" s="4" t="n">
        <v>149.16</v>
      </c>
      <c r="G13">
        <f>IF(D13="IN",E13,-E13)</f>
        <v/>
      </c>
      <c r="H13" s="4">
        <f>G13*F13</f>
        <v/>
      </c>
    </row>
    <row r="14">
      <c r="A14" t="inlineStr">
        <is>
          <t>TX-0013</t>
        </is>
      </c>
      <c r="B14" s="5" t="n">
        <v>45719</v>
      </c>
      <c r="C14" t="inlineStr">
        <is>
          <t>SKU-1030</t>
        </is>
      </c>
      <c r="D14" t="inlineStr">
        <is>
          <t>IN</t>
        </is>
      </c>
      <c r="E14" t="n">
        <v>27</v>
      </c>
      <c r="F14" s="4" t="n">
        <v>153.96</v>
      </c>
      <c r="G14">
        <f>IF(D14="IN",E14,-E14)</f>
        <v/>
      </c>
      <c r="H14" s="4">
        <f>G14*F14</f>
        <v/>
      </c>
    </row>
    <row r="15">
      <c r="A15" t="inlineStr">
        <is>
          <t>TX-0014</t>
        </is>
      </c>
      <c r="B15" s="5" t="n">
        <v>46008</v>
      </c>
      <c r="C15" t="inlineStr">
        <is>
          <t>SKU-1007</t>
        </is>
      </c>
      <c r="D15" t="inlineStr">
        <is>
          <t>OUT</t>
        </is>
      </c>
      <c r="E15" t="n">
        <v>6</v>
      </c>
      <c r="F15" s="4" t="n">
        <v>161.58</v>
      </c>
      <c r="G15">
        <f>IF(D15="IN",E15,-E15)</f>
        <v/>
      </c>
      <c r="H15" s="4">
        <f>G15*F15</f>
        <v/>
      </c>
    </row>
    <row r="16">
      <c r="A16" t="inlineStr">
        <is>
          <t>TX-0015</t>
        </is>
      </c>
      <c r="B16" s="5" t="n">
        <v>45779</v>
      </c>
      <c r="C16" t="inlineStr">
        <is>
          <t>SKU-1026</t>
        </is>
      </c>
      <c r="D16" t="inlineStr">
        <is>
          <t>OUT</t>
        </is>
      </c>
      <c r="E16" t="n">
        <v>20</v>
      </c>
      <c r="F16" s="4" t="n">
        <v>57.5</v>
      </c>
      <c r="G16">
        <f>IF(D16="IN",E16,-E16)</f>
        <v/>
      </c>
      <c r="H16" s="4">
        <f>G16*F16</f>
        <v/>
      </c>
    </row>
    <row r="17">
      <c r="A17" t="inlineStr">
        <is>
          <t>TX-0016</t>
        </is>
      </c>
      <c r="B17" s="5" t="n">
        <v>45895</v>
      </c>
      <c r="C17" t="inlineStr">
        <is>
          <t>SKU-1029</t>
        </is>
      </c>
      <c r="D17" t="inlineStr">
        <is>
          <t>OUT</t>
        </is>
      </c>
      <c r="E17" t="n">
        <v>22</v>
      </c>
      <c r="F17" s="4" t="n">
        <v>42.38</v>
      </c>
      <c r="G17">
        <f>IF(D17="IN",E17,-E17)</f>
        <v/>
      </c>
      <c r="H17" s="4">
        <f>G17*F17</f>
        <v/>
      </c>
    </row>
    <row r="18">
      <c r="A18" t="inlineStr">
        <is>
          <t>TX-0017</t>
        </is>
      </c>
      <c r="B18" s="5" t="n">
        <v>45984</v>
      </c>
      <c r="C18" t="inlineStr">
        <is>
          <t>SKU-1026</t>
        </is>
      </c>
      <c r="D18" t="inlineStr">
        <is>
          <t>OUT</t>
        </is>
      </c>
      <c r="E18" t="n">
        <v>17</v>
      </c>
      <c r="F18" s="4" t="n">
        <v>77.98999999999999</v>
      </c>
      <c r="G18">
        <f>IF(D18="IN",E18,-E18)</f>
        <v/>
      </c>
      <c r="H18" s="4">
        <f>G18*F18</f>
        <v/>
      </c>
    </row>
    <row r="19">
      <c r="A19" t="inlineStr">
        <is>
          <t>TX-0018</t>
        </is>
      </c>
      <c r="B19" s="5" t="n">
        <v>45799</v>
      </c>
      <c r="C19" t="inlineStr">
        <is>
          <t>SKU-1021</t>
        </is>
      </c>
      <c r="D19" t="inlineStr">
        <is>
          <t>OUT</t>
        </is>
      </c>
      <c r="E19" t="n">
        <v>26</v>
      </c>
      <c r="F19" s="4" t="n">
        <v>232.76</v>
      </c>
      <c r="G19">
        <f>IF(D19="IN",E19,-E19)</f>
        <v/>
      </c>
      <c r="H19" s="4">
        <f>G19*F19</f>
        <v/>
      </c>
    </row>
    <row r="20">
      <c r="A20" t="inlineStr">
        <is>
          <t>TX-0019</t>
        </is>
      </c>
      <c r="B20" s="5" t="n">
        <v>45996</v>
      </c>
      <c r="C20" t="inlineStr">
        <is>
          <t>SKU-1003</t>
        </is>
      </c>
      <c r="D20" t="inlineStr">
        <is>
          <t>IN</t>
        </is>
      </c>
      <c r="E20" t="n">
        <v>8</v>
      </c>
      <c r="F20" s="4" t="n">
        <v>116.4</v>
      </c>
      <c r="G20">
        <f>IF(D20="IN",E20,-E20)</f>
        <v/>
      </c>
      <c r="H20" s="4">
        <f>G20*F20</f>
        <v/>
      </c>
    </row>
    <row r="21">
      <c r="A21" t="inlineStr">
        <is>
          <t>TX-0020</t>
        </is>
      </c>
      <c r="B21" s="5" t="n">
        <v>45693</v>
      </c>
      <c r="C21" t="inlineStr">
        <is>
          <t>SKU-1007</t>
        </is>
      </c>
      <c r="D21" t="inlineStr">
        <is>
          <t>IN</t>
        </is>
      </c>
      <c r="E21" t="n">
        <v>2</v>
      </c>
      <c r="F21" s="4" t="n">
        <v>147.75</v>
      </c>
      <c r="G21">
        <f>IF(D21="IN",E21,-E21)</f>
        <v/>
      </c>
      <c r="H21" s="4">
        <f>G21*F21</f>
        <v/>
      </c>
    </row>
    <row r="22">
      <c r="A22" t="inlineStr">
        <is>
          <t>TX-0021</t>
        </is>
      </c>
      <c r="B22" s="5" t="n">
        <v>45698</v>
      </c>
      <c r="C22" t="inlineStr">
        <is>
          <t>SKU-1050</t>
        </is>
      </c>
      <c r="D22" t="inlineStr">
        <is>
          <t>OUT</t>
        </is>
      </c>
      <c r="E22" t="n">
        <v>5</v>
      </c>
      <c r="F22" s="4" t="n">
        <v>39.03</v>
      </c>
      <c r="G22">
        <f>IF(D22="IN",E22,-E22)</f>
        <v/>
      </c>
      <c r="H22" s="4">
        <f>G22*F22</f>
        <v/>
      </c>
    </row>
    <row r="23">
      <c r="A23" t="inlineStr">
        <is>
          <t>TX-0022</t>
        </is>
      </c>
      <c r="B23" s="5" t="n">
        <v>45770</v>
      </c>
      <c r="C23" t="inlineStr">
        <is>
          <t>SKU-1031</t>
        </is>
      </c>
      <c r="D23" t="inlineStr">
        <is>
          <t>OUT</t>
        </is>
      </c>
      <c r="E23" t="n">
        <v>23</v>
      </c>
      <c r="F23" s="4" t="n">
        <v>81.34999999999999</v>
      </c>
      <c r="G23">
        <f>IF(D23="IN",E23,-E23)</f>
        <v/>
      </c>
      <c r="H23" s="4">
        <f>G23*F23</f>
        <v/>
      </c>
    </row>
    <row r="24">
      <c r="A24" t="inlineStr">
        <is>
          <t>TX-0023</t>
        </is>
      </c>
      <c r="B24" s="5" t="n">
        <v>45983</v>
      </c>
      <c r="C24" t="inlineStr">
        <is>
          <t>SKU-1043</t>
        </is>
      </c>
      <c r="D24" t="inlineStr">
        <is>
          <t>OUT</t>
        </is>
      </c>
      <c r="E24" t="n">
        <v>14</v>
      </c>
      <c r="F24" s="4" t="n">
        <v>32.41</v>
      </c>
      <c r="G24">
        <f>IF(D24="IN",E24,-E24)</f>
        <v/>
      </c>
      <c r="H24" s="4">
        <f>G24*F24</f>
        <v/>
      </c>
    </row>
    <row r="25">
      <c r="A25" t="inlineStr">
        <is>
          <t>TX-0024</t>
        </is>
      </c>
      <c r="B25" s="5" t="n">
        <v>45890</v>
      </c>
      <c r="C25" t="inlineStr">
        <is>
          <t>SKU-1003</t>
        </is>
      </c>
      <c r="D25" t="inlineStr">
        <is>
          <t>OUT</t>
        </is>
      </c>
      <c r="E25" t="n">
        <v>30</v>
      </c>
      <c r="F25" s="4" t="n">
        <v>177.86</v>
      </c>
      <c r="G25">
        <f>IF(D25="IN",E25,-E25)</f>
        <v/>
      </c>
      <c r="H25" s="4">
        <f>G25*F25</f>
        <v/>
      </c>
    </row>
    <row r="26">
      <c r="A26" t="inlineStr">
        <is>
          <t>TX-0025</t>
        </is>
      </c>
      <c r="B26" s="5" t="n">
        <v>45811</v>
      </c>
      <c r="C26" t="inlineStr">
        <is>
          <t>SKU-1004</t>
        </is>
      </c>
      <c r="D26" t="inlineStr">
        <is>
          <t>OUT</t>
        </is>
      </c>
      <c r="E26" t="n">
        <v>6</v>
      </c>
      <c r="F26" s="4" t="n">
        <v>98.92</v>
      </c>
      <c r="G26">
        <f>IF(D26="IN",E26,-E26)</f>
        <v/>
      </c>
      <c r="H26" s="4">
        <f>G26*F26</f>
        <v/>
      </c>
    </row>
    <row r="27">
      <c r="A27" t="inlineStr">
        <is>
          <t>TX-0026</t>
        </is>
      </c>
      <c r="B27" s="5" t="n">
        <v>45790</v>
      </c>
      <c r="C27" t="inlineStr">
        <is>
          <t>SKU-1012</t>
        </is>
      </c>
      <c r="D27" t="inlineStr">
        <is>
          <t>IN</t>
        </is>
      </c>
      <c r="E27" t="n">
        <v>27</v>
      </c>
      <c r="F27" s="4" t="n">
        <v>213.56</v>
      </c>
      <c r="G27">
        <f>IF(D27="IN",E27,-E27)</f>
        <v/>
      </c>
      <c r="H27" s="4">
        <f>G27*F27</f>
        <v/>
      </c>
    </row>
    <row r="28">
      <c r="A28" t="inlineStr">
        <is>
          <t>TX-0027</t>
        </is>
      </c>
      <c r="B28" s="5" t="n">
        <v>45864</v>
      </c>
      <c r="C28" t="inlineStr">
        <is>
          <t>SKU-1046</t>
        </is>
      </c>
      <c r="D28" t="inlineStr">
        <is>
          <t>OUT</t>
        </is>
      </c>
      <c r="E28" t="n">
        <v>15</v>
      </c>
      <c r="F28" s="4" t="n">
        <v>165.27</v>
      </c>
      <c r="G28">
        <f>IF(D28="IN",E28,-E28)</f>
        <v/>
      </c>
      <c r="H28" s="4">
        <f>G28*F28</f>
        <v/>
      </c>
    </row>
    <row r="29">
      <c r="A29" t="inlineStr">
        <is>
          <t>TX-0028</t>
        </is>
      </c>
      <c r="B29" s="5" t="n">
        <v>45832</v>
      </c>
      <c r="C29" t="inlineStr">
        <is>
          <t>SKU-1046</t>
        </is>
      </c>
      <c r="D29" t="inlineStr">
        <is>
          <t>OUT</t>
        </is>
      </c>
      <c r="E29" t="n">
        <v>15</v>
      </c>
      <c r="F29" s="4" t="n">
        <v>34.96</v>
      </c>
      <c r="G29">
        <f>IF(D29="IN",E29,-E29)</f>
        <v/>
      </c>
      <c r="H29" s="4">
        <f>G29*F29</f>
        <v/>
      </c>
    </row>
    <row r="30">
      <c r="A30" t="inlineStr">
        <is>
          <t>TX-0029</t>
        </is>
      </c>
      <c r="B30" s="5" t="n">
        <v>45958</v>
      </c>
      <c r="C30" t="inlineStr">
        <is>
          <t>SKU-1045</t>
        </is>
      </c>
      <c r="D30" t="inlineStr">
        <is>
          <t>OUT</t>
        </is>
      </c>
      <c r="E30" t="n">
        <v>22</v>
      </c>
      <c r="F30" s="4" t="n">
        <v>80.06999999999999</v>
      </c>
      <c r="G30">
        <f>IF(D30="IN",E30,-E30)</f>
        <v/>
      </c>
      <c r="H30" s="4">
        <f>G30*F30</f>
        <v/>
      </c>
    </row>
    <row r="31">
      <c r="A31" t="inlineStr">
        <is>
          <t>TX-0030</t>
        </is>
      </c>
      <c r="B31" s="5" t="n">
        <v>45725</v>
      </c>
      <c r="C31" t="inlineStr">
        <is>
          <t>SKU-1027</t>
        </is>
      </c>
      <c r="D31" t="inlineStr">
        <is>
          <t>IN</t>
        </is>
      </c>
      <c r="E31" t="n">
        <v>1</v>
      </c>
      <c r="F31" s="4" t="n">
        <v>217.56</v>
      </c>
      <c r="G31">
        <f>IF(D31="IN",E31,-E31)</f>
        <v/>
      </c>
      <c r="H31" s="4">
        <f>G31*F31</f>
        <v/>
      </c>
    </row>
    <row r="32">
      <c r="A32" t="inlineStr">
        <is>
          <t>TX-0031</t>
        </is>
      </c>
      <c r="B32" s="5" t="n">
        <v>45813</v>
      </c>
      <c r="C32" t="inlineStr">
        <is>
          <t>SKU-1003</t>
        </is>
      </c>
      <c r="D32" t="inlineStr">
        <is>
          <t>IN</t>
        </is>
      </c>
      <c r="E32" t="n">
        <v>16</v>
      </c>
      <c r="F32" s="4" t="n">
        <v>219.13</v>
      </c>
      <c r="G32">
        <f>IF(D32="IN",E32,-E32)</f>
        <v/>
      </c>
      <c r="H32" s="4">
        <f>G32*F32</f>
        <v/>
      </c>
    </row>
    <row r="33">
      <c r="A33" t="inlineStr">
        <is>
          <t>TX-0032</t>
        </is>
      </c>
      <c r="B33" s="5" t="n">
        <v>45878</v>
      </c>
      <c r="C33" t="inlineStr">
        <is>
          <t>SKU-1013</t>
        </is>
      </c>
      <c r="D33" t="inlineStr">
        <is>
          <t>IN</t>
        </is>
      </c>
      <c r="E33" t="n">
        <v>8</v>
      </c>
      <c r="F33" s="4" t="n">
        <v>129.17</v>
      </c>
      <c r="G33">
        <f>IF(D33="IN",E33,-E33)</f>
        <v/>
      </c>
      <c r="H33" s="4">
        <f>G33*F33</f>
        <v/>
      </c>
    </row>
    <row r="34">
      <c r="A34" t="inlineStr">
        <is>
          <t>TX-0033</t>
        </is>
      </c>
      <c r="B34" s="5" t="n">
        <v>45678</v>
      </c>
      <c r="C34" t="inlineStr">
        <is>
          <t>SKU-1024</t>
        </is>
      </c>
      <c r="D34" t="inlineStr">
        <is>
          <t>IN</t>
        </is>
      </c>
      <c r="E34" t="n">
        <v>14</v>
      </c>
      <c r="F34" s="4" t="n">
        <v>11.54</v>
      </c>
      <c r="G34">
        <f>IF(D34="IN",E34,-E34)</f>
        <v/>
      </c>
      <c r="H34" s="4">
        <f>G34*F34</f>
        <v/>
      </c>
    </row>
    <row r="35">
      <c r="A35" t="inlineStr">
        <is>
          <t>TX-0034</t>
        </is>
      </c>
      <c r="B35" s="5" t="n">
        <v>45809</v>
      </c>
      <c r="C35" t="inlineStr">
        <is>
          <t>SKU-1007</t>
        </is>
      </c>
      <c r="D35" t="inlineStr">
        <is>
          <t>OUT</t>
        </is>
      </c>
      <c r="E35" t="n">
        <v>26</v>
      </c>
      <c r="F35" s="4" t="n">
        <v>154.49</v>
      </c>
      <c r="G35">
        <f>IF(D35="IN",E35,-E35)</f>
        <v/>
      </c>
      <c r="H35" s="4">
        <f>G35*F35</f>
        <v/>
      </c>
    </row>
    <row r="36">
      <c r="A36" t="inlineStr">
        <is>
          <t>TX-0035</t>
        </is>
      </c>
      <c r="B36" s="5" t="n">
        <v>45907</v>
      </c>
      <c r="C36" t="inlineStr">
        <is>
          <t>SKU-1014</t>
        </is>
      </c>
      <c r="D36" t="inlineStr">
        <is>
          <t>OUT</t>
        </is>
      </c>
      <c r="E36" t="n">
        <v>25</v>
      </c>
      <c r="F36" s="4" t="n">
        <v>206.43</v>
      </c>
      <c r="G36">
        <f>IF(D36="IN",E36,-E36)</f>
        <v/>
      </c>
      <c r="H36" s="4">
        <f>G36*F36</f>
        <v/>
      </c>
    </row>
    <row r="37">
      <c r="A37" t="inlineStr">
        <is>
          <t>TX-0036</t>
        </is>
      </c>
      <c r="B37" s="5" t="n">
        <v>46015</v>
      </c>
      <c r="C37" t="inlineStr">
        <is>
          <t>SKU-1033</t>
        </is>
      </c>
      <c r="D37" t="inlineStr">
        <is>
          <t>IN</t>
        </is>
      </c>
      <c r="E37" t="n">
        <v>11</v>
      </c>
      <c r="F37" s="4" t="n">
        <v>170.73</v>
      </c>
      <c r="G37">
        <f>IF(D37="IN",E37,-E37)</f>
        <v/>
      </c>
      <c r="H37" s="4">
        <f>G37*F37</f>
        <v/>
      </c>
    </row>
    <row r="38">
      <c r="A38" t="inlineStr">
        <is>
          <t>TX-0037</t>
        </is>
      </c>
      <c r="B38" s="5" t="n">
        <v>45919</v>
      </c>
      <c r="C38" t="inlineStr">
        <is>
          <t>SKU-1040</t>
        </is>
      </c>
      <c r="D38" t="inlineStr">
        <is>
          <t>OUT</t>
        </is>
      </c>
      <c r="E38" t="n">
        <v>17</v>
      </c>
      <c r="F38" s="4" t="n">
        <v>98.89</v>
      </c>
      <c r="G38">
        <f>IF(D38="IN",E38,-E38)</f>
        <v/>
      </c>
      <c r="H38" s="4">
        <f>G38*F38</f>
        <v/>
      </c>
    </row>
    <row r="39">
      <c r="A39" t="inlineStr">
        <is>
          <t>TX-0038</t>
        </is>
      </c>
      <c r="B39" s="5" t="n">
        <v>46017</v>
      </c>
      <c r="C39" t="inlineStr">
        <is>
          <t>SKU-1003</t>
        </is>
      </c>
      <c r="D39" t="inlineStr">
        <is>
          <t>IN</t>
        </is>
      </c>
      <c r="E39" t="n">
        <v>14</v>
      </c>
      <c r="F39" s="4" t="n">
        <v>192.89</v>
      </c>
      <c r="G39">
        <f>IF(D39="IN",E39,-E39)</f>
        <v/>
      </c>
      <c r="H39" s="4">
        <f>G39*F39</f>
        <v/>
      </c>
    </row>
    <row r="40">
      <c r="A40" t="inlineStr">
        <is>
          <t>TX-0039</t>
        </is>
      </c>
      <c r="B40" s="5" t="n">
        <v>45795</v>
      </c>
      <c r="C40" t="inlineStr">
        <is>
          <t>SKU-1049</t>
        </is>
      </c>
      <c r="D40" t="inlineStr">
        <is>
          <t>OUT</t>
        </is>
      </c>
      <c r="E40" t="n">
        <v>24</v>
      </c>
      <c r="F40" s="4" t="n">
        <v>148.56</v>
      </c>
      <c r="G40">
        <f>IF(D40="IN",E40,-E40)</f>
        <v/>
      </c>
      <c r="H40" s="4">
        <f>G40*F40</f>
        <v/>
      </c>
    </row>
    <row r="41">
      <c r="A41" t="inlineStr">
        <is>
          <t>TX-0040</t>
        </is>
      </c>
      <c r="B41" s="5" t="n">
        <v>45671</v>
      </c>
      <c r="C41" t="inlineStr">
        <is>
          <t>SKU-1038</t>
        </is>
      </c>
      <c r="D41" t="inlineStr">
        <is>
          <t>OUT</t>
        </is>
      </c>
      <c r="E41" t="n">
        <v>2</v>
      </c>
      <c r="F41" s="4" t="n">
        <v>72.55</v>
      </c>
      <c r="G41">
        <f>IF(D41="IN",E41,-E41)</f>
        <v/>
      </c>
      <c r="H41" s="4">
        <f>G41*F41</f>
        <v/>
      </c>
    </row>
    <row r="42">
      <c r="A42" t="inlineStr">
        <is>
          <t>TX-0041</t>
        </is>
      </c>
      <c r="B42" s="5" t="n">
        <v>45853</v>
      </c>
      <c r="C42" t="inlineStr">
        <is>
          <t>SKU-1039</t>
        </is>
      </c>
      <c r="D42" t="inlineStr">
        <is>
          <t>IN</t>
        </is>
      </c>
      <c r="E42" t="n">
        <v>16</v>
      </c>
      <c r="F42" s="4" t="n">
        <v>207.73</v>
      </c>
      <c r="G42">
        <f>IF(D42="IN",E42,-E42)</f>
        <v/>
      </c>
      <c r="H42" s="4">
        <f>G42*F42</f>
        <v/>
      </c>
    </row>
    <row r="43">
      <c r="A43" t="inlineStr">
        <is>
          <t>TX-0042</t>
        </is>
      </c>
      <c r="B43" s="5" t="n">
        <v>45938</v>
      </c>
      <c r="C43" t="inlineStr">
        <is>
          <t>SKU-1029</t>
        </is>
      </c>
      <c r="D43" t="inlineStr">
        <is>
          <t>IN</t>
        </is>
      </c>
      <c r="E43" t="n">
        <v>30</v>
      </c>
      <c r="F43" s="4" t="n">
        <v>80.16</v>
      </c>
      <c r="G43">
        <f>IF(D43="IN",E43,-E43)</f>
        <v/>
      </c>
      <c r="H43" s="4">
        <f>G43*F43</f>
        <v/>
      </c>
    </row>
    <row r="44">
      <c r="A44" t="inlineStr">
        <is>
          <t>TX-0043</t>
        </is>
      </c>
      <c r="B44" s="5" t="n">
        <v>45684</v>
      </c>
      <c r="C44" t="inlineStr">
        <is>
          <t>SKU-1015</t>
        </is>
      </c>
      <c r="D44" t="inlineStr">
        <is>
          <t>OUT</t>
        </is>
      </c>
      <c r="E44" t="n">
        <v>10</v>
      </c>
      <c r="F44" s="4" t="n">
        <v>223.1</v>
      </c>
      <c r="G44">
        <f>IF(D44="IN",E44,-E44)</f>
        <v/>
      </c>
      <c r="H44" s="4">
        <f>G44*F44</f>
        <v/>
      </c>
    </row>
    <row r="45">
      <c r="A45" t="inlineStr">
        <is>
          <t>TX-0044</t>
        </is>
      </c>
      <c r="B45" s="5" t="n">
        <v>45908</v>
      </c>
      <c r="C45" t="inlineStr">
        <is>
          <t>SKU-1003</t>
        </is>
      </c>
      <c r="D45" t="inlineStr">
        <is>
          <t>OUT</t>
        </is>
      </c>
      <c r="E45" t="n">
        <v>13</v>
      </c>
      <c r="F45" s="4" t="n">
        <v>67.81</v>
      </c>
      <c r="G45">
        <f>IF(D45="IN",E45,-E45)</f>
        <v/>
      </c>
      <c r="H45" s="4">
        <f>G45*F45</f>
        <v/>
      </c>
    </row>
    <row r="46">
      <c r="A46" t="inlineStr">
        <is>
          <t>TX-0045</t>
        </is>
      </c>
      <c r="B46" s="5" t="n">
        <v>45839</v>
      </c>
      <c r="C46" t="inlineStr">
        <is>
          <t>SKU-1028</t>
        </is>
      </c>
      <c r="D46" t="inlineStr">
        <is>
          <t>IN</t>
        </is>
      </c>
      <c r="E46" t="n">
        <v>27</v>
      </c>
      <c r="F46" s="4" t="n">
        <v>113.41</v>
      </c>
      <c r="G46">
        <f>IF(D46="IN",E46,-E46)</f>
        <v/>
      </c>
      <c r="H46" s="4">
        <f>G46*F46</f>
        <v/>
      </c>
    </row>
    <row r="47">
      <c r="A47" t="inlineStr">
        <is>
          <t>TX-0046</t>
        </is>
      </c>
      <c r="B47" s="5" t="n">
        <v>45795</v>
      </c>
      <c r="C47" t="inlineStr">
        <is>
          <t>SKU-1035</t>
        </is>
      </c>
      <c r="D47" t="inlineStr">
        <is>
          <t>IN</t>
        </is>
      </c>
      <c r="E47" t="n">
        <v>3</v>
      </c>
      <c r="F47" s="4" t="n">
        <v>200.99</v>
      </c>
      <c r="G47">
        <f>IF(D47="IN",E47,-E47)</f>
        <v/>
      </c>
      <c r="H47" s="4">
        <f>G47*F47</f>
        <v/>
      </c>
    </row>
    <row r="48">
      <c r="A48" t="inlineStr">
        <is>
          <t>TX-0047</t>
        </is>
      </c>
      <c r="B48" s="5" t="n">
        <v>46017</v>
      </c>
      <c r="C48" t="inlineStr">
        <is>
          <t>SKU-1050</t>
        </is>
      </c>
      <c r="D48" t="inlineStr">
        <is>
          <t>OUT</t>
        </is>
      </c>
      <c r="E48" t="n">
        <v>1</v>
      </c>
      <c r="F48" s="4" t="n">
        <v>126.43</v>
      </c>
      <c r="G48">
        <f>IF(D48="IN",E48,-E48)</f>
        <v/>
      </c>
      <c r="H48" s="4">
        <f>G48*F48</f>
        <v/>
      </c>
    </row>
    <row r="49">
      <c r="A49" t="inlineStr">
        <is>
          <t>TX-0048</t>
        </is>
      </c>
      <c r="B49" s="5" t="n">
        <v>45673</v>
      </c>
      <c r="C49" t="inlineStr">
        <is>
          <t>SKU-1038</t>
        </is>
      </c>
      <c r="D49" t="inlineStr">
        <is>
          <t>OUT</t>
        </is>
      </c>
      <c r="E49" t="n">
        <v>25</v>
      </c>
      <c r="F49" s="4" t="n">
        <v>150.86</v>
      </c>
      <c r="G49">
        <f>IF(D49="IN",E49,-E49)</f>
        <v/>
      </c>
      <c r="H49" s="4">
        <f>G49*F49</f>
        <v/>
      </c>
    </row>
    <row r="50">
      <c r="A50" t="inlineStr">
        <is>
          <t>TX-0049</t>
        </is>
      </c>
      <c r="B50" s="5" t="n">
        <v>45802</v>
      </c>
      <c r="C50" t="inlineStr">
        <is>
          <t>SKU-1008</t>
        </is>
      </c>
      <c r="D50" t="inlineStr">
        <is>
          <t>IN</t>
        </is>
      </c>
      <c r="E50" t="n">
        <v>18</v>
      </c>
      <c r="F50" s="4" t="n">
        <v>166</v>
      </c>
      <c r="G50">
        <f>IF(D50="IN",E50,-E50)</f>
        <v/>
      </c>
      <c r="H50" s="4">
        <f>G50*F50</f>
        <v/>
      </c>
    </row>
    <row r="51">
      <c r="A51" t="inlineStr">
        <is>
          <t>TX-0050</t>
        </is>
      </c>
      <c r="B51" s="5" t="n">
        <v>45924</v>
      </c>
      <c r="C51" t="inlineStr">
        <is>
          <t>SKU-1022</t>
        </is>
      </c>
      <c r="D51" t="inlineStr">
        <is>
          <t>IN</t>
        </is>
      </c>
      <c r="E51" t="n">
        <v>30</v>
      </c>
      <c r="F51" s="4" t="n">
        <v>247.34</v>
      </c>
      <c r="G51">
        <f>IF(D51="IN",E51,-E51)</f>
        <v/>
      </c>
      <c r="H51" s="4">
        <f>G51*F51</f>
        <v/>
      </c>
    </row>
    <row r="52">
      <c r="A52" t="inlineStr">
        <is>
          <t>TX-0051</t>
        </is>
      </c>
      <c r="B52" s="5" t="n">
        <v>45679</v>
      </c>
      <c r="C52" t="inlineStr">
        <is>
          <t>SKU-1028</t>
        </is>
      </c>
      <c r="D52" t="inlineStr">
        <is>
          <t>IN</t>
        </is>
      </c>
      <c r="E52" t="n">
        <v>18</v>
      </c>
      <c r="F52" s="4" t="n">
        <v>164.71</v>
      </c>
      <c r="G52">
        <f>IF(D52="IN",E52,-E52)</f>
        <v/>
      </c>
      <c r="H52" s="4">
        <f>G52*F52</f>
        <v/>
      </c>
    </row>
    <row r="53">
      <c r="A53" t="inlineStr">
        <is>
          <t>TX-0052</t>
        </is>
      </c>
      <c r="B53" s="5" t="n">
        <v>45870</v>
      </c>
      <c r="C53" t="inlineStr">
        <is>
          <t>SKU-1007</t>
        </is>
      </c>
      <c r="D53" t="inlineStr">
        <is>
          <t>IN</t>
        </is>
      </c>
      <c r="E53" t="n">
        <v>11</v>
      </c>
      <c r="F53" s="4" t="n">
        <v>162.42</v>
      </c>
      <c r="G53">
        <f>IF(D53="IN",E53,-E53)</f>
        <v/>
      </c>
      <c r="H53" s="4">
        <f>G53*F53</f>
        <v/>
      </c>
    </row>
    <row r="54">
      <c r="A54" t="inlineStr">
        <is>
          <t>TX-0053</t>
        </is>
      </c>
      <c r="B54" s="5" t="n">
        <v>45783</v>
      </c>
      <c r="C54" t="inlineStr">
        <is>
          <t>SKU-1043</t>
        </is>
      </c>
      <c r="D54" t="inlineStr">
        <is>
          <t>IN</t>
        </is>
      </c>
      <c r="E54" t="n">
        <v>30</v>
      </c>
      <c r="F54" s="4" t="n">
        <v>187.85</v>
      </c>
      <c r="G54">
        <f>IF(D54="IN",E54,-E54)</f>
        <v/>
      </c>
      <c r="H54" s="4">
        <f>G54*F54</f>
        <v/>
      </c>
    </row>
    <row r="55">
      <c r="A55" t="inlineStr">
        <is>
          <t>TX-0054</t>
        </is>
      </c>
      <c r="B55" s="5" t="n">
        <v>45730</v>
      </c>
      <c r="C55" t="inlineStr">
        <is>
          <t>SKU-1014</t>
        </is>
      </c>
      <c r="D55" t="inlineStr">
        <is>
          <t>OUT</t>
        </is>
      </c>
      <c r="E55" t="n">
        <v>22</v>
      </c>
      <c r="F55" s="4" t="n">
        <v>65.76000000000001</v>
      </c>
      <c r="G55">
        <f>IF(D55="IN",E55,-E55)</f>
        <v/>
      </c>
      <c r="H55" s="4">
        <f>G55*F55</f>
        <v/>
      </c>
    </row>
    <row r="56">
      <c r="A56" t="inlineStr">
        <is>
          <t>TX-0055</t>
        </is>
      </c>
      <c r="B56" s="5" t="n">
        <v>45787</v>
      </c>
      <c r="C56" t="inlineStr">
        <is>
          <t>SKU-1035</t>
        </is>
      </c>
      <c r="D56" t="inlineStr">
        <is>
          <t>IN</t>
        </is>
      </c>
      <c r="E56" t="n">
        <v>12</v>
      </c>
      <c r="F56" s="4" t="n">
        <v>26.21</v>
      </c>
      <c r="G56">
        <f>IF(D56="IN",E56,-E56)</f>
        <v/>
      </c>
      <c r="H56" s="4">
        <f>G56*F56</f>
        <v/>
      </c>
    </row>
    <row r="57">
      <c r="A57" t="inlineStr">
        <is>
          <t>TX-0056</t>
        </is>
      </c>
      <c r="B57" s="5" t="n">
        <v>45716</v>
      </c>
      <c r="C57" t="inlineStr">
        <is>
          <t>SKU-1001</t>
        </is>
      </c>
      <c r="D57" t="inlineStr">
        <is>
          <t>IN</t>
        </is>
      </c>
      <c r="E57" t="n">
        <v>3</v>
      </c>
      <c r="F57" s="4" t="n">
        <v>245.74</v>
      </c>
      <c r="G57">
        <f>IF(D57="IN",E57,-E57)</f>
        <v/>
      </c>
      <c r="H57" s="4">
        <f>G57*F57</f>
        <v/>
      </c>
    </row>
    <row r="58">
      <c r="A58" t="inlineStr">
        <is>
          <t>TX-0057</t>
        </is>
      </c>
      <c r="B58" s="5" t="n">
        <v>45783</v>
      </c>
      <c r="C58" t="inlineStr">
        <is>
          <t>SKU-1008</t>
        </is>
      </c>
      <c r="D58" t="inlineStr">
        <is>
          <t>IN</t>
        </is>
      </c>
      <c r="E58" t="n">
        <v>3</v>
      </c>
      <c r="F58" s="4" t="n">
        <v>195.11</v>
      </c>
      <c r="G58">
        <f>IF(D58="IN",E58,-E58)</f>
        <v/>
      </c>
      <c r="H58" s="4">
        <f>G58*F58</f>
        <v/>
      </c>
    </row>
    <row r="59">
      <c r="A59" t="inlineStr">
        <is>
          <t>TX-0058</t>
        </is>
      </c>
      <c r="B59" s="5" t="n">
        <v>45915</v>
      </c>
      <c r="C59" t="inlineStr">
        <is>
          <t>SKU-1033</t>
        </is>
      </c>
      <c r="D59" t="inlineStr">
        <is>
          <t>OUT</t>
        </is>
      </c>
      <c r="E59" t="n">
        <v>11</v>
      </c>
      <c r="F59" s="4" t="n">
        <v>32.12</v>
      </c>
      <c r="G59">
        <f>IF(D59="IN",E59,-E59)</f>
        <v/>
      </c>
      <c r="H59" s="4">
        <f>G59*F59</f>
        <v/>
      </c>
    </row>
    <row r="60">
      <c r="A60" t="inlineStr">
        <is>
          <t>TX-0059</t>
        </is>
      </c>
      <c r="B60" s="5" t="n">
        <v>45803</v>
      </c>
      <c r="C60" t="inlineStr">
        <is>
          <t>SKU-1006</t>
        </is>
      </c>
      <c r="D60" t="inlineStr">
        <is>
          <t>IN</t>
        </is>
      </c>
      <c r="E60" t="n">
        <v>16</v>
      </c>
      <c r="F60" s="4" t="n">
        <v>167.66</v>
      </c>
      <c r="G60">
        <f>IF(D60="IN",E60,-E60)</f>
        <v/>
      </c>
      <c r="H60" s="4">
        <f>G60*F60</f>
        <v/>
      </c>
    </row>
    <row r="61">
      <c r="A61" t="inlineStr">
        <is>
          <t>TX-0060</t>
        </is>
      </c>
      <c r="B61" s="5" t="n">
        <v>45729</v>
      </c>
      <c r="C61" t="inlineStr">
        <is>
          <t>SKU-1013</t>
        </is>
      </c>
      <c r="D61" t="inlineStr">
        <is>
          <t>OUT</t>
        </is>
      </c>
      <c r="E61" t="n">
        <v>26</v>
      </c>
      <c r="F61" s="4" t="n">
        <v>24.82</v>
      </c>
      <c r="G61">
        <f>IF(D61="IN",E61,-E61)</f>
        <v/>
      </c>
      <c r="H61" s="4">
        <f>G61*F61</f>
        <v/>
      </c>
    </row>
    <row r="62">
      <c r="A62" t="inlineStr">
        <is>
          <t>TX-0061</t>
        </is>
      </c>
      <c r="B62" s="5" t="n">
        <v>45956</v>
      </c>
      <c r="C62" t="inlineStr">
        <is>
          <t>SKU-1050</t>
        </is>
      </c>
      <c r="D62" t="inlineStr">
        <is>
          <t>OUT</t>
        </is>
      </c>
      <c r="E62" t="n">
        <v>24</v>
      </c>
      <c r="F62" s="4" t="n">
        <v>6.52</v>
      </c>
      <c r="G62">
        <f>IF(D62="IN",E62,-E62)</f>
        <v/>
      </c>
      <c r="H62" s="4">
        <f>G62*F62</f>
        <v/>
      </c>
    </row>
    <row r="63">
      <c r="A63" t="inlineStr">
        <is>
          <t>TX-0062</t>
        </is>
      </c>
      <c r="B63" s="5" t="n">
        <v>45814</v>
      </c>
      <c r="C63" t="inlineStr">
        <is>
          <t>SKU-1034</t>
        </is>
      </c>
      <c r="D63" t="inlineStr">
        <is>
          <t>IN</t>
        </is>
      </c>
      <c r="E63" t="n">
        <v>3</v>
      </c>
      <c r="F63" s="4" t="n">
        <v>42.25</v>
      </c>
      <c r="G63">
        <f>IF(D63="IN",E63,-E63)</f>
        <v/>
      </c>
      <c r="H63" s="4">
        <f>G63*F63</f>
        <v/>
      </c>
    </row>
    <row r="64">
      <c r="A64" t="inlineStr">
        <is>
          <t>TX-0063</t>
        </is>
      </c>
      <c r="B64" s="5" t="n">
        <v>45973</v>
      </c>
      <c r="C64" t="inlineStr">
        <is>
          <t>SKU-1002</t>
        </is>
      </c>
      <c r="D64" t="inlineStr">
        <is>
          <t>IN</t>
        </is>
      </c>
      <c r="E64" t="n">
        <v>16</v>
      </c>
      <c r="F64" s="4" t="n">
        <v>247.8</v>
      </c>
      <c r="G64">
        <f>IF(D64="IN",E64,-E64)</f>
        <v/>
      </c>
      <c r="H64" s="4">
        <f>G64*F64</f>
        <v/>
      </c>
    </row>
    <row r="65">
      <c r="A65" t="inlineStr">
        <is>
          <t>TX-0064</t>
        </is>
      </c>
      <c r="B65" s="5" t="n">
        <v>45842</v>
      </c>
      <c r="C65" t="inlineStr">
        <is>
          <t>SKU-1033</t>
        </is>
      </c>
      <c r="D65" t="inlineStr">
        <is>
          <t>OUT</t>
        </is>
      </c>
      <c r="E65" t="n">
        <v>28</v>
      </c>
      <c r="F65" s="4" t="n">
        <v>98.54000000000001</v>
      </c>
      <c r="G65">
        <f>IF(D65="IN",E65,-E65)</f>
        <v/>
      </c>
      <c r="H65" s="4">
        <f>G65*F65</f>
        <v/>
      </c>
    </row>
    <row r="66">
      <c r="A66" t="inlineStr">
        <is>
          <t>TX-0065</t>
        </is>
      </c>
      <c r="B66" s="5" t="n">
        <v>45951</v>
      </c>
      <c r="C66" t="inlineStr">
        <is>
          <t>SKU-1031</t>
        </is>
      </c>
      <c r="D66" t="inlineStr">
        <is>
          <t>OUT</t>
        </is>
      </c>
      <c r="E66" t="n">
        <v>7</v>
      </c>
      <c r="F66" s="4" t="n">
        <v>43.55</v>
      </c>
      <c r="G66">
        <f>IF(D66="IN",E66,-E66)</f>
        <v/>
      </c>
      <c r="H66" s="4">
        <f>G66*F66</f>
        <v/>
      </c>
    </row>
    <row r="67">
      <c r="A67" t="inlineStr">
        <is>
          <t>TX-0066</t>
        </is>
      </c>
      <c r="B67" s="5" t="n">
        <v>45986</v>
      </c>
      <c r="C67" t="inlineStr">
        <is>
          <t>SKU-1032</t>
        </is>
      </c>
      <c r="D67" t="inlineStr">
        <is>
          <t>IN</t>
        </is>
      </c>
      <c r="E67" t="n">
        <v>24</v>
      </c>
      <c r="F67" s="4" t="n">
        <v>58.23</v>
      </c>
      <c r="G67">
        <f>IF(D67="IN",E67,-E67)</f>
        <v/>
      </c>
      <c r="H67" s="4">
        <f>G67*F67</f>
        <v/>
      </c>
    </row>
    <row r="68">
      <c r="A68" t="inlineStr">
        <is>
          <t>TX-0067</t>
        </is>
      </c>
      <c r="B68" s="5" t="n">
        <v>45815</v>
      </c>
      <c r="C68" t="inlineStr">
        <is>
          <t>SKU-1003</t>
        </is>
      </c>
      <c r="D68" t="inlineStr">
        <is>
          <t>OUT</t>
        </is>
      </c>
      <c r="E68" t="n">
        <v>13</v>
      </c>
      <c r="F68" s="4" t="n">
        <v>81.91</v>
      </c>
      <c r="G68">
        <f>IF(D68="IN",E68,-E68)</f>
        <v/>
      </c>
      <c r="H68" s="4">
        <f>G68*F68</f>
        <v/>
      </c>
    </row>
    <row r="69">
      <c r="A69" t="inlineStr">
        <is>
          <t>TX-0068</t>
        </is>
      </c>
      <c r="B69" s="5" t="n">
        <v>45942</v>
      </c>
      <c r="C69" t="inlineStr">
        <is>
          <t>SKU-1002</t>
        </is>
      </c>
      <c r="D69" t="inlineStr">
        <is>
          <t>IN</t>
        </is>
      </c>
      <c r="E69" t="n">
        <v>15</v>
      </c>
      <c r="F69" s="4" t="n">
        <v>48.64</v>
      </c>
      <c r="G69">
        <f>IF(D69="IN",E69,-E69)</f>
        <v/>
      </c>
      <c r="H69" s="4">
        <f>G69*F69</f>
        <v/>
      </c>
    </row>
    <row r="70">
      <c r="A70" t="inlineStr">
        <is>
          <t>TX-0069</t>
        </is>
      </c>
      <c r="B70" s="5" t="n">
        <v>46018</v>
      </c>
      <c r="C70" t="inlineStr">
        <is>
          <t>SKU-1001</t>
        </is>
      </c>
      <c r="D70" t="inlineStr">
        <is>
          <t>OUT</t>
        </is>
      </c>
      <c r="E70" t="n">
        <v>21</v>
      </c>
      <c r="F70" s="4" t="n">
        <v>86</v>
      </c>
      <c r="G70">
        <f>IF(D70="IN",E70,-E70)</f>
        <v/>
      </c>
      <c r="H70" s="4">
        <f>G70*F70</f>
        <v/>
      </c>
    </row>
    <row r="71">
      <c r="A71" t="inlineStr">
        <is>
          <t>TX-0070</t>
        </is>
      </c>
      <c r="B71" s="5" t="n">
        <v>45743</v>
      </c>
      <c r="C71" t="inlineStr">
        <is>
          <t>SKU-1007</t>
        </is>
      </c>
      <c r="D71" t="inlineStr">
        <is>
          <t>OUT</t>
        </is>
      </c>
      <c r="E71" t="n">
        <v>28</v>
      </c>
      <c r="F71" s="4" t="n">
        <v>116.94</v>
      </c>
      <c r="G71">
        <f>IF(D71="IN",E71,-E71)</f>
        <v/>
      </c>
      <c r="H71" s="4">
        <f>G71*F71</f>
        <v/>
      </c>
    </row>
    <row r="72">
      <c r="A72" t="inlineStr">
        <is>
          <t>TX-0071</t>
        </is>
      </c>
      <c r="B72" s="5" t="n">
        <v>45887</v>
      </c>
      <c r="C72" t="inlineStr">
        <is>
          <t>SKU-1036</t>
        </is>
      </c>
      <c r="D72" t="inlineStr">
        <is>
          <t>IN</t>
        </is>
      </c>
      <c r="E72" t="n">
        <v>19</v>
      </c>
      <c r="F72" s="4" t="n">
        <v>35.67</v>
      </c>
      <c r="G72">
        <f>IF(D72="IN",E72,-E72)</f>
        <v/>
      </c>
      <c r="H72" s="4">
        <f>G72*F72</f>
        <v/>
      </c>
    </row>
    <row r="73">
      <c r="A73" t="inlineStr">
        <is>
          <t>TX-0072</t>
        </is>
      </c>
      <c r="B73" s="5" t="n">
        <v>45683</v>
      </c>
      <c r="C73" t="inlineStr">
        <is>
          <t>SKU-1041</t>
        </is>
      </c>
      <c r="D73" t="inlineStr">
        <is>
          <t>OUT</t>
        </is>
      </c>
      <c r="E73" t="n">
        <v>4</v>
      </c>
      <c r="F73" s="4" t="n">
        <v>156.99</v>
      </c>
      <c r="G73">
        <f>IF(D73="IN",E73,-E73)</f>
        <v/>
      </c>
      <c r="H73" s="4">
        <f>G73*F73</f>
        <v/>
      </c>
    </row>
    <row r="74">
      <c r="A74" t="inlineStr">
        <is>
          <t>TX-0073</t>
        </is>
      </c>
      <c r="B74" s="5" t="n">
        <v>45848</v>
      </c>
      <c r="C74" t="inlineStr">
        <is>
          <t>SKU-1003</t>
        </is>
      </c>
      <c r="D74" t="inlineStr">
        <is>
          <t>OUT</t>
        </is>
      </c>
      <c r="E74" t="n">
        <v>8</v>
      </c>
      <c r="F74" s="4" t="n">
        <v>79.39</v>
      </c>
      <c r="G74">
        <f>IF(D74="IN",E74,-E74)</f>
        <v/>
      </c>
      <c r="H74" s="4">
        <f>G74*F74</f>
        <v/>
      </c>
    </row>
    <row r="75">
      <c r="A75" t="inlineStr">
        <is>
          <t>TX-0074</t>
        </is>
      </c>
      <c r="B75" s="5" t="n">
        <v>45966</v>
      </c>
      <c r="C75" t="inlineStr">
        <is>
          <t>SKU-1045</t>
        </is>
      </c>
      <c r="D75" t="inlineStr">
        <is>
          <t>IN</t>
        </is>
      </c>
      <c r="E75" t="n">
        <v>2</v>
      </c>
      <c r="F75" s="4" t="n">
        <v>234.88</v>
      </c>
      <c r="G75">
        <f>IF(D75="IN",E75,-E75)</f>
        <v/>
      </c>
      <c r="H75" s="4">
        <f>G75*F75</f>
        <v/>
      </c>
    </row>
    <row r="76">
      <c r="A76" t="inlineStr">
        <is>
          <t>TX-0075</t>
        </is>
      </c>
      <c r="B76" s="5" t="n">
        <v>45725</v>
      </c>
      <c r="C76" t="inlineStr">
        <is>
          <t>SKU-1022</t>
        </is>
      </c>
      <c r="D76" t="inlineStr">
        <is>
          <t>OUT</t>
        </is>
      </c>
      <c r="E76" t="n">
        <v>27</v>
      </c>
      <c r="F76" s="4" t="n">
        <v>96.14</v>
      </c>
      <c r="G76">
        <f>IF(D76="IN",E76,-E76)</f>
        <v/>
      </c>
      <c r="H76" s="4">
        <f>G76*F76</f>
        <v/>
      </c>
    </row>
    <row r="77">
      <c r="A77" t="inlineStr">
        <is>
          <t>TX-0076</t>
        </is>
      </c>
      <c r="B77" s="5" t="n">
        <v>45811</v>
      </c>
      <c r="C77" t="inlineStr">
        <is>
          <t>SKU-1032</t>
        </is>
      </c>
      <c r="D77" t="inlineStr">
        <is>
          <t>OUT</t>
        </is>
      </c>
      <c r="E77" t="n">
        <v>3</v>
      </c>
      <c r="F77" s="4" t="n">
        <v>243.83</v>
      </c>
      <c r="G77">
        <f>IF(D77="IN",E77,-E77)</f>
        <v/>
      </c>
      <c r="H77" s="4">
        <f>G77*F77</f>
        <v/>
      </c>
    </row>
    <row r="78">
      <c r="A78" t="inlineStr">
        <is>
          <t>TX-0077</t>
        </is>
      </c>
      <c r="B78" s="5" t="n">
        <v>45658</v>
      </c>
      <c r="C78" t="inlineStr">
        <is>
          <t>SKU-1019</t>
        </is>
      </c>
      <c r="D78" t="inlineStr">
        <is>
          <t>OUT</t>
        </is>
      </c>
      <c r="E78" t="n">
        <v>24</v>
      </c>
      <c r="F78" s="4" t="n">
        <v>76.36</v>
      </c>
      <c r="G78">
        <f>IF(D78="IN",E78,-E78)</f>
        <v/>
      </c>
      <c r="H78" s="4">
        <f>G78*F78</f>
        <v/>
      </c>
    </row>
    <row r="79">
      <c r="A79" t="inlineStr">
        <is>
          <t>TX-0078</t>
        </is>
      </c>
      <c r="B79" s="5" t="n">
        <v>45733</v>
      </c>
      <c r="C79" t="inlineStr">
        <is>
          <t>SKU-1039</t>
        </is>
      </c>
      <c r="D79" t="inlineStr">
        <is>
          <t>OUT</t>
        </is>
      </c>
      <c r="E79" t="n">
        <v>6</v>
      </c>
      <c r="F79" s="4" t="n">
        <v>178.53</v>
      </c>
      <c r="G79">
        <f>IF(D79="IN",E79,-E79)</f>
        <v/>
      </c>
      <c r="H79" s="4">
        <f>G79*F79</f>
        <v/>
      </c>
    </row>
    <row r="80">
      <c r="A80" t="inlineStr">
        <is>
          <t>TX-0079</t>
        </is>
      </c>
      <c r="B80" s="5" t="n">
        <v>45802</v>
      </c>
      <c r="C80" t="inlineStr">
        <is>
          <t>SKU-1022</t>
        </is>
      </c>
      <c r="D80" t="inlineStr">
        <is>
          <t>IN</t>
        </is>
      </c>
      <c r="E80" t="n">
        <v>12</v>
      </c>
      <c r="F80" s="4" t="n">
        <v>30.12</v>
      </c>
      <c r="G80">
        <f>IF(D80="IN",E80,-E80)</f>
        <v/>
      </c>
      <c r="H80" s="4">
        <f>G80*F80</f>
        <v/>
      </c>
    </row>
    <row r="81">
      <c r="A81" t="inlineStr">
        <is>
          <t>TX-0080</t>
        </is>
      </c>
      <c r="B81" s="5" t="n">
        <v>45937</v>
      </c>
      <c r="C81" t="inlineStr">
        <is>
          <t>SKU-1038</t>
        </is>
      </c>
      <c r="D81" t="inlineStr">
        <is>
          <t>OUT</t>
        </is>
      </c>
      <c r="E81" t="n">
        <v>29</v>
      </c>
      <c r="F81" s="4" t="n">
        <v>32.68</v>
      </c>
      <c r="G81">
        <f>IF(D81="IN",E81,-E81)</f>
        <v/>
      </c>
      <c r="H81" s="4">
        <f>G81*F81</f>
        <v/>
      </c>
    </row>
    <row r="82">
      <c r="A82" t="inlineStr">
        <is>
          <t>TX-0081</t>
        </is>
      </c>
      <c r="B82" s="5" t="n">
        <v>45804</v>
      </c>
      <c r="C82" t="inlineStr">
        <is>
          <t>SKU-1049</t>
        </is>
      </c>
      <c r="D82" t="inlineStr">
        <is>
          <t>IN</t>
        </is>
      </c>
      <c r="E82" t="n">
        <v>8</v>
      </c>
      <c r="F82" s="4" t="n">
        <v>14.17</v>
      </c>
      <c r="G82">
        <f>IF(D82="IN",E82,-E82)</f>
        <v/>
      </c>
      <c r="H82" s="4">
        <f>G82*F82</f>
        <v/>
      </c>
    </row>
    <row r="83">
      <c r="A83" t="inlineStr">
        <is>
          <t>TX-0082</t>
        </is>
      </c>
      <c r="B83" s="5" t="n">
        <v>45958</v>
      </c>
      <c r="C83" t="inlineStr">
        <is>
          <t>SKU-1045</t>
        </is>
      </c>
      <c r="D83" t="inlineStr">
        <is>
          <t>IN</t>
        </is>
      </c>
      <c r="E83" t="n">
        <v>26</v>
      </c>
      <c r="F83" s="4" t="n">
        <v>178.78</v>
      </c>
      <c r="G83">
        <f>IF(D83="IN",E83,-E83)</f>
        <v/>
      </c>
      <c r="H83" s="4">
        <f>G83*F83</f>
        <v/>
      </c>
    </row>
    <row r="84">
      <c r="A84" t="inlineStr">
        <is>
          <t>TX-0083</t>
        </is>
      </c>
      <c r="B84" s="5" t="n">
        <v>45781</v>
      </c>
      <c r="C84" t="inlineStr">
        <is>
          <t>SKU-1026</t>
        </is>
      </c>
      <c r="D84" t="inlineStr">
        <is>
          <t>OUT</t>
        </is>
      </c>
      <c r="E84" t="n">
        <v>30</v>
      </c>
      <c r="F84" s="4" t="n">
        <v>138.99</v>
      </c>
      <c r="G84">
        <f>IF(D84="IN",E84,-E84)</f>
        <v/>
      </c>
      <c r="H84" s="4">
        <f>G84*F84</f>
        <v/>
      </c>
    </row>
    <row r="85">
      <c r="A85" t="inlineStr">
        <is>
          <t>TX-0084</t>
        </is>
      </c>
      <c r="B85" s="5" t="n">
        <v>45841</v>
      </c>
      <c r="C85" t="inlineStr">
        <is>
          <t>SKU-1043</t>
        </is>
      </c>
      <c r="D85" t="inlineStr">
        <is>
          <t>IN</t>
        </is>
      </c>
      <c r="E85" t="n">
        <v>10</v>
      </c>
      <c r="F85" s="4" t="n">
        <v>229.87</v>
      </c>
      <c r="G85">
        <f>IF(D85="IN",E85,-E85)</f>
        <v/>
      </c>
      <c r="H85" s="4">
        <f>G85*F85</f>
        <v/>
      </c>
    </row>
    <row r="86">
      <c r="A86" t="inlineStr">
        <is>
          <t>TX-0085</t>
        </is>
      </c>
      <c r="B86" s="5" t="n">
        <v>45719</v>
      </c>
      <c r="C86" t="inlineStr">
        <is>
          <t>SKU-1007</t>
        </is>
      </c>
      <c r="D86" t="inlineStr">
        <is>
          <t>OUT</t>
        </is>
      </c>
      <c r="E86" t="n">
        <v>9</v>
      </c>
      <c r="F86" s="4" t="n">
        <v>185.79</v>
      </c>
      <c r="G86">
        <f>IF(D86="IN",E86,-E86)</f>
        <v/>
      </c>
      <c r="H86" s="4">
        <f>G86*F86</f>
        <v/>
      </c>
    </row>
    <row r="87">
      <c r="A87" t="inlineStr">
        <is>
          <t>TX-0086</t>
        </is>
      </c>
      <c r="B87" s="5" t="n">
        <v>45673</v>
      </c>
      <c r="C87" t="inlineStr">
        <is>
          <t>SKU-1024</t>
        </is>
      </c>
      <c r="D87" t="inlineStr">
        <is>
          <t>IN</t>
        </is>
      </c>
      <c r="E87" t="n">
        <v>4</v>
      </c>
      <c r="F87" s="4" t="n">
        <v>223.07</v>
      </c>
      <c r="G87">
        <f>IF(D87="IN",E87,-E87)</f>
        <v/>
      </c>
      <c r="H87" s="4">
        <f>G87*F87</f>
        <v/>
      </c>
    </row>
    <row r="88">
      <c r="A88" t="inlineStr">
        <is>
          <t>TX-0087</t>
        </is>
      </c>
      <c r="B88" s="5" t="n">
        <v>45735</v>
      </c>
      <c r="C88" t="inlineStr">
        <is>
          <t>SKU-1036</t>
        </is>
      </c>
      <c r="D88" t="inlineStr">
        <is>
          <t>OUT</t>
        </is>
      </c>
      <c r="E88" t="n">
        <v>18</v>
      </c>
      <c r="F88" s="4" t="n">
        <v>28.51</v>
      </c>
      <c r="G88">
        <f>IF(D88="IN",E88,-E88)</f>
        <v/>
      </c>
      <c r="H88" s="4">
        <f>G88*F88</f>
        <v/>
      </c>
    </row>
    <row r="89">
      <c r="A89" t="inlineStr">
        <is>
          <t>TX-0088</t>
        </is>
      </c>
      <c r="B89" s="5" t="n">
        <v>45737</v>
      </c>
      <c r="C89" t="inlineStr">
        <is>
          <t>SKU-1037</t>
        </is>
      </c>
      <c r="D89" t="inlineStr">
        <is>
          <t>IN</t>
        </is>
      </c>
      <c r="E89" t="n">
        <v>3</v>
      </c>
      <c r="F89" s="4" t="n">
        <v>84.84999999999999</v>
      </c>
      <c r="G89">
        <f>IF(D89="IN",E89,-E89)</f>
        <v/>
      </c>
      <c r="H89" s="4">
        <f>G89*F89</f>
        <v/>
      </c>
    </row>
    <row r="90">
      <c r="A90" t="inlineStr">
        <is>
          <t>TX-0089</t>
        </is>
      </c>
      <c r="B90" s="5" t="n">
        <v>45876</v>
      </c>
      <c r="C90" t="inlineStr">
        <is>
          <t>SKU-1047</t>
        </is>
      </c>
      <c r="D90" t="inlineStr">
        <is>
          <t>IN</t>
        </is>
      </c>
      <c r="E90" t="n">
        <v>21</v>
      </c>
      <c r="F90" s="4" t="n">
        <v>203.44</v>
      </c>
      <c r="G90">
        <f>IF(D90="IN",E90,-E90)</f>
        <v/>
      </c>
      <c r="H90" s="4">
        <f>G90*F90</f>
        <v/>
      </c>
    </row>
    <row r="91">
      <c r="A91" t="inlineStr">
        <is>
          <t>TX-0090</t>
        </is>
      </c>
      <c r="B91" s="5" t="n">
        <v>45978</v>
      </c>
      <c r="C91" t="inlineStr">
        <is>
          <t>SKU-1016</t>
        </is>
      </c>
      <c r="D91" t="inlineStr">
        <is>
          <t>IN</t>
        </is>
      </c>
      <c r="E91" t="n">
        <v>6</v>
      </c>
      <c r="F91" s="4" t="n">
        <v>184.99</v>
      </c>
      <c r="G91">
        <f>IF(D91="IN",E91,-E91)</f>
        <v/>
      </c>
      <c r="H91" s="4">
        <f>G91*F91</f>
        <v/>
      </c>
    </row>
    <row r="92">
      <c r="A92" t="inlineStr">
        <is>
          <t>TX-0091</t>
        </is>
      </c>
      <c r="B92" s="5" t="n">
        <v>45796</v>
      </c>
      <c r="C92" t="inlineStr">
        <is>
          <t>SKU-1047</t>
        </is>
      </c>
      <c r="D92" t="inlineStr">
        <is>
          <t>OUT</t>
        </is>
      </c>
      <c r="E92" t="n">
        <v>1</v>
      </c>
      <c r="F92" s="4" t="n">
        <v>170.99</v>
      </c>
      <c r="G92">
        <f>IF(D92="IN",E92,-E92)</f>
        <v/>
      </c>
      <c r="H92" s="4">
        <f>G92*F92</f>
        <v/>
      </c>
    </row>
    <row r="93">
      <c r="A93" t="inlineStr">
        <is>
          <t>TX-0092</t>
        </is>
      </c>
      <c r="B93" s="5" t="n">
        <v>45671</v>
      </c>
      <c r="C93" t="inlineStr">
        <is>
          <t>SKU-1014</t>
        </is>
      </c>
      <c r="D93" t="inlineStr">
        <is>
          <t>IN</t>
        </is>
      </c>
      <c r="E93" t="n">
        <v>16</v>
      </c>
      <c r="F93" s="4" t="n">
        <v>137.8</v>
      </c>
      <c r="G93">
        <f>IF(D93="IN",E93,-E93)</f>
        <v/>
      </c>
      <c r="H93" s="4">
        <f>G93*F93</f>
        <v/>
      </c>
    </row>
    <row r="94">
      <c r="A94" t="inlineStr">
        <is>
          <t>TX-0093</t>
        </is>
      </c>
      <c r="B94" s="5" t="n">
        <v>45789</v>
      </c>
      <c r="C94" t="inlineStr">
        <is>
          <t>SKU-1009</t>
        </is>
      </c>
      <c r="D94" t="inlineStr">
        <is>
          <t>OUT</t>
        </is>
      </c>
      <c r="E94" t="n">
        <v>7</v>
      </c>
      <c r="F94" s="4" t="n">
        <v>206.61</v>
      </c>
      <c r="G94">
        <f>IF(D94="IN",E94,-E94)</f>
        <v/>
      </c>
      <c r="H94" s="4">
        <f>G94*F94</f>
        <v/>
      </c>
    </row>
    <row r="95">
      <c r="A95" t="inlineStr">
        <is>
          <t>TX-0094</t>
        </is>
      </c>
      <c r="B95" s="5" t="n">
        <v>45940</v>
      </c>
      <c r="C95" t="inlineStr">
        <is>
          <t>SKU-1018</t>
        </is>
      </c>
      <c r="D95" t="inlineStr">
        <is>
          <t>OUT</t>
        </is>
      </c>
      <c r="E95" t="n">
        <v>19</v>
      </c>
      <c r="F95" s="4" t="n">
        <v>104.06</v>
      </c>
      <c r="G95">
        <f>IF(D95="IN",E95,-E95)</f>
        <v/>
      </c>
      <c r="H95" s="4">
        <f>G95*F95</f>
        <v/>
      </c>
    </row>
    <row r="96">
      <c r="A96" t="inlineStr">
        <is>
          <t>TX-0095</t>
        </is>
      </c>
      <c r="B96" s="5" t="n">
        <v>45711</v>
      </c>
      <c r="C96" t="inlineStr">
        <is>
          <t>SKU-1027</t>
        </is>
      </c>
      <c r="D96" t="inlineStr">
        <is>
          <t>IN</t>
        </is>
      </c>
      <c r="E96" t="n">
        <v>20</v>
      </c>
      <c r="F96" s="4" t="n">
        <v>214.32</v>
      </c>
      <c r="G96">
        <f>IF(D96="IN",E96,-E96)</f>
        <v/>
      </c>
      <c r="H96" s="4">
        <f>G96*F96</f>
        <v/>
      </c>
    </row>
    <row r="97">
      <c r="A97" t="inlineStr">
        <is>
          <t>TX-0096</t>
        </is>
      </c>
      <c r="B97" s="5" t="n">
        <v>45661</v>
      </c>
      <c r="C97" t="inlineStr">
        <is>
          <t>SKU-1026</t>
        </is>
      </c>
      <c r="D97" t="inlineStr">
        <is>
          <t>OUT</t>
        </is>
      </c>
      <c r="E97" t="n">
        <v>21</v>
      </c>
      <c r="F97" s="4" t="n">
        <v>152.1</v>
      </c>
      <c r="G97">
        <f>IF(D97="IN",E97,-E97)</f>
        <v/>
      </c>
      <c r="H97" s="4">
        <f>G97*F97</f>
        <v/>
      </c>
    </row>
    <row r="98">
      <c r="A98" t="inlineStr">
        <is>
          <t>TX-0097</t>
        </is>
      </c>
      <c r="B98" s="5" t="n">
        <v>45735</v>
      </c>
      <c r="C98" t="inlineStr">
        <is>
          <t>SKU-1012</t>
        </is>
      </c>
      <c r="D98" t="inlineStr">
        <is>
          <t>IN</t>
        </is>
      </c>
      <c r="E98" t="n">
        <v>24</v>
      </c>
      <c r="F98" s="4" t="n">
        <v>64.73</v>
      </c>
      <c r="G98">
        <f>IF(D98="IN",E98,-E98)</f>
        <v/>
      </c>
      <c r="H98" s="4">
        <f>G98*F98</f>
        <v/>
      </c>
    </row>
    <row r="99">
      <c r="A99" t="inlineStr">
        <is>
          <t>TX-0098</t>
        </is>
      </c>
      <c r="B99" s="5" t="n">
        <v>45993</v>
      </c>
      <c r="C99" t="inlineStr">
        <is>
          <t>SKU-1015</t>
        </is>
      </c>
      <c r="D99" t="inlineStr">
        <is>
          <t>IN</t>
        </is>
      </c>
      <c r="E99" t="n">
        <v>22</v>
      </c>
      <c r="F99" s="4" t="n">
        <v>63.7</v>
      </c>
      <c r="G99">
        <f>IF(D99="IN",E99,-E99)</f>
        <v/>
      </c>
      <c r="H99" s="4">
        <f>G99*F99</f>
        <v/>
      </c>
    </row>
    <row r="100">
      <c r="A100" t="inlineStr">
        <is>
          <t>TX-0099</t>
        </is>
      </c>
      <c r="B100" s="5" t="n">
        <v>45710</v>
      </c>
      <c r="C100" t="inlineStr">
        <is>
          <t>SKU-1026</t>
        </is>
      </c>
      <c r="D100" t="inlineStr">
        <is>
          <t>IN</t>
        </is>
      </c>
      <c r="E100" t="n">
        <v>24</v>
      </c>
      <c r="F100" s="4" t="n">
        <v>13.55</v>
      </c>
      <c r="G100">
        <f>IF(D100="IN",E100,-E100)</f>
        <v/>
      </c>
      <c r="H100" s="4">
        <f>G100*F100</f>
        <v/>
      </c>
    </row>
    <row r="101">
      <c r="A101" t="inlineStr">
        <is>
          <t>TX-0100</t>
        </is>
      </c>
      <c r="B101" s="5" t="n">
        <v>45707</v>
      </c>
      <c r="C101" t="inlineStr">
        <is>
          <t>SKU-1001</t>
        </is>
      </c>
      <c r="D101" t="inlineStr">
        <is>
          <t>IN</t>
        </is>
      </c>
      <c r="E101" t="n">
        <v>7</v>
      </c>
      <c r="F101" s="4" t="n">
        <v>70.58</v>
      </c>
      <c r="G101">
        <f>IF(D101="IN",E101,-E101)</f>
        <v/>
      </c>
      <c r="H101" s="4">
        <f>G101*F101</f>
        <v/>
      </c>
    </row>
    <row r="102">
      <c r="A102" t="inlineStr">
        <is>
          <t>TX-0101</t>
        </is>
      </c>
      <c r="B102" s="5" t="n">
        <v>45992</v>
      </c>
      <c r="C102" t="inlineStr">
        <is>
          <t>SKU-1027</t>
        </is>
      </c>
      <c r="D102" t="inlineStr">
        <is>
          <t>IN</t>
        </is>
      </c>
      <c r="E102" t="n">
        <v>23</v>
      </c>
      <c r="F102" s="4" t="n">
        <v>29.47</v>
      </c>
      <c r="G102">
        <f>IF(D102="IN",E102,-E102)</f>
        <v/>
      </c>
      <c r="H102" s="4">
        <f>G102*F102</f>
        <v/>
      </c>
    </row>
    <row r="103">
      <c r="A103" t="inlineStr">
        <is>
          <t>TX-0102</t>
        </is>
      </c>
      <c r="B103" s="5" t="n">
        <v>45721</v>
      </c>
      <c r="C103" t="inlineStr">
        <is>
          <t>SKU-1047</t>
        </is>
      </c>
      <c r="D103" t="inlineStr">
        <is>
          <t>IN</t>
        </is>
      </c>
      <c r="E103" t="n">
        <v>11</v>
      </c>
      <c r="F103" s="4" t="n">
        <v>53.17</v>
      </c>
      <c r="G103">
        <f>IF(D103="IN",E103,-E103)</f>
        <v/>
      </c>
      <c r="H103" s="4">
        <f>G103*F103</f>
        <v/>
      </c>
    </row>
    <row r="104">
      <c r="A104" t="inlineStr">
        <is>
          <t>TX-0103</t>
        </is>
      </c>
      <c r="B104" s="5" t="n">
        <v>45851</v>
      </c>
      <c r="C104" t="inlineStr">
        <is>
          <t>SKU-1043</t>
        </is>
      </c>
      <c r="D104" t="inlineStr">
        <is>
          <t>IN</t>
        </is>
      </c>
      <c r="E104" t="n">
        <v>28</v>
      </c>
      <c r="F104" s="4" t="n">
        <v>93.45</v>
      </c>
      <c r="G104">
        <f>IF(D104="IN",E104,-E104)</f>
        <v/>
      </c>
      <c r="H104" s="4">
        <f>G104*F104</f>
        <v/>
      </c>
    </row>
    <row r="105">
      <c r="A105" t="inlineStr">
        <is>
          <t>TX-0104</t>
        </is>
      </c>
      <c r="B105" s="5" t="n">
        <v>45966</v>
      </c>
      <c r="C105" t="inlineStr">
        <is>
          <t>SKU-1014</t>
        </is>
      </c>
      <c r="D105" t="inlineStr">
        <is>
          <t>OUT</t>
        </is>
      </c>
      <c r="E105" t="n">
        <v>15</v>
      </c>
      <c r="F105" s="4" t="n">
        <v>166.45</v>
      </c>
      <c r="G105">
        <f>IF(D105="IN",E105,-E105)</f>
        <v/>
      </c>
      <c r="H105" s="4">
        <f>G105*F105</f>
        <v/>
      </c>
    </row>
    <row r="106">
      <c r="A106" t="inlineStr">
        <is>
          <t>TX-0105</t>
        </is>
      </c>
      <c r="B106" s="5" t="n">
        <v>45989</v>
      </c>
      <c r="C106" t="inlineStr">
        <is>
          <t>SKU-1043</t>
        </is>
      </c>
      <c r="D106" t="inlineStr">
        <is>
          <t>OUT</t>
        </is>
      </c>
      <c r="E106" t="n">
        <v>12</v>
      </c>
      <c r="F106" s="4" t="n">
        <v>48.62</v>
      </c>
      <c r="G106">
        <f>IF(D106="IN",E106,-E106)</f>
        <v/>
      </c>
      <c r="H106" s="4">
        <f>G106*F106</f>
        <v/>
      </c>
    </row>
    <row r="107">
      <c r="A107" t="inlineStr">
        <is>
          <t>TX-0106</t>
        </is>
      </c>
      <c r="B107" s="5" t="n">
        <v>45791</v>
      </c>
      <c r="C107" t="inlineStr">
        <is>
          <t>SKU-1004</t>
        </is>
      </c>
      <c r="D107" t="inlineStr">
        <is>
          <t>IN</t>
        </is>
      </c>
      <c r="E107" t="n">
        <v>16</v>
      </c>
      <c r="F107" s="4" t="n">
        <v>123.25</v>
      </c>
      <c r="G107">
        <f>IF(D107="IN",E107,-E107)</f>
        <v/>
      </c>
      <c r="H107" s="4">
        <f>G107*F107</f>
        <v/>
      </c>
    </row>
    <row r="108">
      <c r="A108" t="inlineStr">
        <is>
          <t>TX-0107</t>
        </is>
      </c>
      <c r="B108" s="5" t="n">
        <v>45718</v>
      </c>
      <c r="C108" t="inlineStr">
        <is>
          <t>SKU-1004</t>
        </is>
      </c>
      <c r="D108" t="inlineStr">
        <is>
          <t>OUT</t>
        </is>
      </c>
      <c r="E108" t="n">
        <v>1</v>
      </c>
      <c r="F108" s="4" t="n">
        <v>109.46</v>
      </c>
      <c r="G108">
        <f>IF(D108="IN",E108,-E108)</f>
        <v/>
      </c>
      <c r="H108" s="4">
        <f>G108*F108</f>
        <v/>
      </c>
    </row>
    <row r="109">
      <c r="A109" t="inlineStr">
        <is>
          <t>TX-0108</t>
        </is>
      </c>
      <c r="B109" s="5" t="n">
        <v>45842</v>
      </c>
      <c r="C109" t="inlineStr">
        <is>
          <t>SKU-1019</t>
        </is>
      </c>
      <c r="D109" t="inlineStr">
        <is>
          <t>OUT</t>
        </is>
      </c>
      <c r="E109" t="n">
        <v>17</v>
      </c>
      <c r="F109" s="4" t="n">
        <v>73.69</v>
      </c>
      <c r="G109">
        <f>IF(D109="IN",E109,-E109)</f>
        <v/>
      </c>
      <c r="H109" s="4">
        <f>G109*F109</f>
        <v/>
      </c>
    </row>
    <row r="110">
      <c r="A110" t="inlineStr">
        <is>
          <t>TX-0109</t>
        </is>
      </c>
      <c r="B110" s="5" t="n">
        <v>45863</v>
      </c>
      <c r="C110" t="inlineStr">
        <is>
          <t>SKU-1001</t>
        </is>
      </c>
      <c r="D110" t="inlineStr">
        <is>
          <t>IN</t>
        </is>
      </c>
      <c r="E110" t="n">
        <v>10</v>
      </c>
      <c r="F110" s="4" t="n">
        <v>71.27</v>
      </c>
      <c r="G110">
        <f>IF(D110="IN",E110,-E110)</f>
        <v/>
      </c>
      <c r="H110" s="4">
        <f>G110*F110</f>
        <v/>
      </c>
    </row>
    <row r="111">
      <c r="A111" t="inlineStr">
        <is>
          <t>TX-0110</t>
        </is>
      </c>
      <c r="B111" s="5" t="n">
        <v>45707</v>
      </c>
      <c r="C111" t="inlineStr">
        <is>
          <t>SKU-1030</t>
        </is>
      </c>
      <c r="D111" t="inlineStr">
        <is>
          <t>OUT</t>
        </is>
      </c>
      <c r="E111" t="n">
        <v>26</v>
      </c>
      <c r="F111" s="4" t="n">
        <v>191.13</v>
      </c>
      <c r="G111">
        <f>IF(D111="IN",E111,-E111)</f>
        <v/>
      </c>
      <c r="H111" s="4">
        <f>G111*F111</f>
        <v/>
      </c>
    </row>
    <row r="112">
      <c r="A112" t="inlineStr">
        <is>
          <t>TX-0111</t>
        </is>
      </c>
      <c r="B112" s="5" t="n">
        <v>45876</v>
      </c>
      <c r="C112" t="inlineStr">
        <is>
          <t>SKU-1045</t>
        </is>
      </c>
      <c r="D112" t="inlineStr">
        <is>
          <t>OUT</t>
        </is>
      </c>
      <c r="E112" t="n">
        <v>10</v>
      </c>
      <c r="F112" s="4" t="n">
        <v>161.77</v>
      </c>
      <c r="G112">
        <f>IF(D112="IN",E112,-E112)</f>
        <v/>
      </c>
      <c r="H112" s="4">
        <f>G112*F112</f>
        <v/>
      </c>
    </row>
    <row r="113">
      <c r="A113" t="inlineStr">
        <is>
          <t>TX-0112</t>
        </is>
      </c>
      <c r="B113" s="5" t="n">
        <v>45847</v>
      </c>
      <c r="C113" t="inlineStr">
        <is>
          <t>SKU-1011</t>
        </is>
      </c>
      <c r="D113" t="inlineStr">
        <is>
          <t>OUT</t>
        </is>
      </c>
      <c r="E113" t="n">
        <v>27</v>
      </c>
      <c r="F113" s="4" t="n">
        <v>120.26</v>
      </c>
      <c r="G113">
        <f>IF(D113="IN",E113,-E113)</f>
        <v/>
      </c>
      <c r="H113" s="4">
        <f>G113*F113</f>
        <v/>
      </c>
    </row>
    <row r="114">
      <c r="A114" t="inlineStr">
        <is>
          <t>TX-0113</t>
        </is>
      </c>
      <c r="B114" s="5" t="n">
        <v>45717</v>
      </c>
      <c r="C114" t="inlineStr">
        <is>
          <t>SKU-1050</t>
        </is>
      </c>
      <c r="D114" t="inlineStr">
        <is>
          <t>OUT</t>
        </is>
      </c>
      <c r="E114" t="n">
        <v>8</v>
      </c>
      <c r="F114" s="4" t="n">
        <v>110.66</v>
      </c>
      <c r="G114">
        <f>IF(D114="IN",E114,-E114)</f>
        <v/>
      </c>
      <c r="H114" s="4">
        <f>G114*F114</f>
        <v/>
      </c>
    </row>
    <row r="115">
      <c r="A115" t="inlineStr">
        <is>
          <t>TX-0114</t>
        </is>
      </c>
      <c r="B115" s="5" t="n">
        <v>45765</v>
      </c>
      <c r="C115" t="inlineStr">
        <is>
          <t>SKU-1033</t>
        </is>
      </c>
      <c r="D115" t="inlineStr">
        <is>
          <t>IN</t>
        </is>
      </c>
      <c r="E115" t="n">
        <v>21</v>
      </c>
      <c r="F115" s="4" t="n">
        <v>122.5</v>
      </c>
      <c r="G115">
        <f>IF(D115="IN",E115,-E115)</f>
        <v/>
      </c>
      <c r="H115" s="4">
        <f>G115*F115</f>
        <v/>
      </c>
    </row>
    <row r="116">
      <c r="A116" t="inlineStr">
        <is>
          <t>TX-0115</t>
        </is>
      </c>
      <c r="B116" s="5" t="n">
        <v>45825</v>
      </c>
      <c r="C116" t="inlineStr">
        <is>
          <t>SKU-1017</t>
        </is>
      </c>
      <c r="D116" t="inlineStr">
        <is>
          <t>IN</t>
        </is>
      </c>
      <c r="E116" t="n">
        <v>4</v>
      </c>
      <c r="F116" s="4" t="n">
        <v>68.38</v>
      </c>
      <c r="G116">
        <f>IF(D116="IN",E116,-E116)</f>
        <v/>
      </c>
      <c r="H116" s="4">
        <f>G116*F116</f>
        <v/>
      </c>
    </row>
    <row r="117">
      <c r="A117" t="inlineStr">
        <is>
          <t>TX-0116</t>
        </is>
      </c>
      <c r="B117" s="5" t="n">
        <v>45926</v>
      </c>
      <c r="C117" t="inlineStr">
        <is>
          <t>SKU-1020</t>
        </is>
      </c>
      <c r="D117" t="inlineStr">
        <is>
          <t>IN</t>
        </is>
      </c>
      <c r="E117" t="n">
        <v>9</v>
      </c>
      <c r="F117" s="4" t="n">
        <v>215.78</v>
      </c>
      <c r="G117">
        <f>IF(D117="IN",E117,-E117)</f>
        <v/>
      </c>
      <c r="H117" s="4">
        <f>G117*F117</f>
        <v/>
      </c>
    </row>
    <row r="118">
      <c r="A118" t="inlineStr">
        <is>
          <t>TX-0117</t>
        </is>
      </c>
      <c r="B118" s="5" t="n">
        <v>45696</v>
      </c>
      <c r="C118" t="inlineStr">
        <is>
          <t>SKU-1019</t>
        </is>
      </c>
      <c r="D118" t="inlineStr">
        <is>
          <t>OUT</t>
        </is>
      </c>
      <c r="E118" t="n">
        <v>1</v>
      </c>
      <c r="F118" s="4" t="n">
        <v>17.62</v>
      </c>
      <c r="G118">
        <f>IF(D118="IN",E118,-E118)</f>
        <v/>
      </c>
      <c r="H118" s="4">
        <f>G118*F118</f>
        <v/>
      </c>
    </row>
    <row r="119">
      <c r="A119" t="inlineStr">
        <is>
          <t>TX-0118</t>
        </is>
      </c>
      <c r="B119" s="5" t="n">
        <v>45979</v>
      </c>
      <c r="C119" t="inlineStr">
        <is>
          <t>SKU-1040</t>
        </is>
      </c>
      <c r="D119" t="inlineStr">
        <is>
          <t>OUT</t>
        </is>
      </c>
      <c r="E119" t="n">
        <v>26</v>
      </c>
      <c r="F119" s="4" t="n">
        <v>62.58</v>
      </c>
      <c r="G119">
        <f>IF(D119="IN",E119,-E119)</f>
        <v/>
      </c>
      <c r="H119" s="4">
        <f>G119*F119</f>
        <v/>
      </c>
    </row>
    <row r="120">
      <c r="A120" t="inlineStr">
        <is>
          <t>TX-0119</t>
        </is>
      </c>
      <c r="B120" s="5" t="n">
        <v>45901</v>
      </c>
      <c r="C120" t="inlineStr">
        <is>
          <t>SKU-1010</t>
        </is>
      </c>
      <c r="D120" t="inlineStr">
        <is>
          <t>IN</t>
        </is>
      </c>
      <c r="E120" t="n">
        <v>21</v>
      </c>
      <c r="F120" s="4" t="n">
        <v>125.27</v>
      </c>
      <c r="G120">
        <f>IF(D120="IN",E120,-E120)</f>
        <v/>
      </c>
      <c r="H120" s="4">
        <f>G120*F120</f>
        <v/>
      </c>
    </row>
    <row r="121">
      <c r="A121" t="inlineStr">
        <is>
          <t>TX-0120</t>
        </is>
      </c>
      <c r="B121" s="5" t="n">
        <v>45914</v>
      </c>
      <c r="C121" t="inlineStr">
        <is>
          <t>SKU-1037</t>
        </is>
      </c>
      <c r="D121" t="inlineStr">
        <is>
          <t>IN</t>
        </is>
      </c>
      <c r="E121" t="n">
        <v>11</v>
      </c>
      <c r="F121" s="4" t="n">
        <v>192.59</v>
      </c>
      <c r="G121">
        <f>IF(D121="IN",E121,-E121)</f>
        <v/>
      </c>
      <c r="H121" s="4">
        <f>G121*F121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SKUs</t>
        </is>
      </c>
      <c r="B2">
        <f>COUNTA(Inventory!A2:A51)</f>
        <v/>
      </c>
    </row>
    <row r="3">
      <c r="A3" t="inlineStr">
        <is>
          <t>Total On Hand</t>
        </is>
      </c>
      <c r="B3">
        <f>SUM(Inventory!E2:E51)</f>
        <v/>
      </c>
    </row>
    <row r="4">
      <c r="A4" t="inlineStr">
        <is>
          <t>Low Stock Count</t>
        </is>
      </c>
      <c r="B4">
        <f>COUNTIF(Inventory!J2:J51,"LOW")</f>
        <v/>
      </c>
    </row>
    <row r="5">
      <c r="A5" t="inlineStr">
        <is>
          <t>Inventory Cost Value</t>
        </is>
      </c>
      <c r="B5" s="4">
        <f>SUMPRODUCT(Inventory!D2:D51,Inventory!E2:E51)</f>
        <v/>
      </c>
    </row>
    <row r="6">
      <c r="A6" t="inlineStr">
        <is>
          <t>Net Transaction Qty</t>
        </is>
      </c>
      <c r="B6">
        <f>SUM(Transactions!G2:G121)</f>
        <v/>
      </c>
    </row>
    <row r="7">
      <c r="A7" t="inlineStr">
        <is>
          <t>Net Transaction Value</t>
        </is>
      </c>
      <c r="B7" s="4">
        <f>SUM(Transactions!H2:H121)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2026-03-10T18:54:38Z</dcterms:created>
  <dcterms:modified xmlns:dcterms="http://purl.org/dc/terms/" xmlns:xsi="http://www.w3.org/2001/XMLSchema-instance" xsi:type="dcterms:W3CDTF">2026-03-10T18:54:38Z</dcterms:modified>
</cp:coreProperties>
</file>