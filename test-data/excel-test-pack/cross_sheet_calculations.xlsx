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</cols>
  <sheetData>
    <row r="1">
      <c r="A1" s="1" t="inlineStr">
        <is>
          <t>Region</t>
        </is>
      </c>
      <c r="B1" s="1" t="inlineStr">
        <is>
          <t>ShippingPct</t>
        </is>
      </c>
      <c r="C1" s="1" t="inlineStr">
        <is>
          <t>PromoPct</t>
        </is>
      </c>
    </row>
    <row r="2">
      <c r="A2" t="inlineStr">
        <is>
          <t>North</t>
        </is>
      </c>
      <c r="B2" s="2" t="n">
        <v>0.04</v>
      </c>
      <c r="C2" s="2" t="n">
        <v>0.02</v>
      </c>
    </row>
    <row r="3">
      <c r="A3" t="inlineStr">
        <is>
          <t>South</t>
        </is>
      </c>
      <c r="B3" s="2" t="n">
        <v>0.06</v>
      </c>
      <c r="C3" s="2" t="n">
        <v>0.01</v>
      </c>
    </row>
    <row r="4">
      <c r="A4" t="inlineStr">
        <is>
          <t>East</t>
        </is>
      </c>
      <c r="B4" s="2" t="n">
        <v>0.05</v>
      </c>
      <c r="C4" s="2" t="n">
        <v>0.03</v>
      </c>
    </row>
    <row r="5">
      <c r="A5" t="inlineStr">
        <is>
          <t>West</t>
        </is>
      </c>
      <c r="B5" s="2" t="n">
        <v>0.07000000000000001</v>
      </c>
      <c r="C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</cols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BasePrice</t>
        </is>
      </c>
      <c r="D1" s="1" t="inlineStr">
        <is>
          <t>Category</t>
        </is>
      </c>
    </row>
    <row r="2">
      <c r="A2" t="inlineStr">
        <is>
          <t>P001</t>
        </is>
      </c>
      <c r="B2" t="inlineStr">
        <is>
          <t>Product 1</t>
        </is>
      </c>
      <c r="C2" s="3" t="n">
        <v>143.11</v>
      </c>
      <c r="D2" t="inlineStr">
        <is>
          <t>B</t>
        </is>
      </c>
    </row>
    <row r="3">
      <c r="A3" t="inlineStr">
        <is>
          <t>P002</t>
        </is>
      </c>
      <c r="B3" t="inlineStr">
        <is>
          <t>Product 2</t>
        </is>
      </c>
      <c r="C3" s="3" t="n">
        <v>85.43000000000001</v>
      </c>
      <c r="D3" t="inlineStr">
        <is>
          <t>A</t>
        </is>
      </c>
    </row>
    <row r="4">
      <c r="A4" t="inlineStr">
        <is>
          <t>P003</t>
        </is>
      </c>
      <c r="B4" t="inlineStr">
        <is>
          <t>Product 3</t>
        </is>
      </c>
      <c r="C4" s="3" t="n">
        <v>295.72</v>
      </c>
      <c r="D4" t="inlineStr">
        <is>
          <t>C</t>
        </is>
      </c>
    </row>
    <row r="5">
      <c r="A5" t="inlineStr">
        <is>
          <t>P004</t>
        </is>
      </c>
      <c r="B5" t="inlineStr">
        <is>
          <t>Product 4</t>
        </is>
      </c>
      <c r="C5" s="3" t="n">
        <v>308.02</v>
      </c>
      <c r="D5" t="inlineStr">
        <is>
          <t>B</t>
        </is>
      </c>
    </row>
    <row r="6">
      <c r="A6" t="inlineStr">
        <is>
          <t>P005</t>
        </is>
      </c>
      <c r="B6" t="inlineStr">
        <is>
          <t>Product 5</t>
        </is>
      </c>
      <c r="C6" s="3" t="n">
        <v>281.45</v>
      </c>
      <c r="D6" t="inlineStr">
        <is>
          <t>B</t>
        </is>
      </c>
    </row>
    <row r="7">
      <c r="A7" t="inlineStr">
        <is>
          <t>P006</t>
        </is>
      </c>
      <c r="B7" t="inlineStr">
        <is>
          <t>Product 6</t>
        </is>
      </c>
      <c r="C7" s="3" t="n">
        <v>238.62</v>
      </c>
      <c r="D7" t="inlineStr">
        <is>
          <t>C</t>
        </is>
      </c>
    </row>
    <row r="8">
      <c r="A8" t="inlineStr">
        <is>
          <t>P007</t>
        </is>
      </c>
      <c r="B8" t="inlineStr">
        <is>
          <t>Product 7</t>
        </is>
      </c>
      <c r="C8" s="3" t="n">
        <v>166.76</v>
      </c>
      <c r="D8" t="inlineStr">
        <is>
          <t>C</t>
        </is>
      </c>
    </row>
    <row r="9">
      <c r="A9" t="inlineStr">
        <is>
          <t>P008</t>
        </is>
      </c>
      <c r="B9" t="inlineStr">
        <is>
          <t>Product 8</t>
        </is>
      </c>
      <c r="C9" s="3" t="n">
        <v>230.43</v>
      </c>
      <c r="D9" t="inlineStr">
        <is>
          <t>B</t>
        </is>
      </c>
    </row>
    <row r="10">
      <c r="A10" t="inlineStr">
        <is>
          <t>P009</t>
        </is>
      </c>
      <c r="B10" t="inlineStr">
        <is>
          <t>Product 9</t>
        </is>
      </c>
      <c r="C10" s="3" t="n">
        <v>47.48</v>
      </c>
      <c r="D10" t="inlineStr">
        <is>
          <t>B</t>
        </is>
      </c>
    </row>
    <row r="11">
      <c r="A11" t="inlineStr">
        <is>
          <t>P010</t>
        </is>
      </c>
      <c r="B11" t="inlineStr">
        <is>
          <t>Product 10</t>
        </is>
      </c>
      <c r="C11" s="3" t="n">
        <v>253.6</v>
      </c>
      <c r="D11" t="inlineStr">
        <is>
          <t>A</t>
        </is>
      </c>
    </row>
    <row r="12">
      <c r="A12" t="inlineStr">
        <is>
          <t>P011</t>
        </is>
      </c>
      <c r="B12" t="inlineStr">
        <is>
          <t>Product 11</t>
        </is>
      </c>
      <c r="C12" s="3" t="n">
        <v>136.64</v>
      </c>
      <c r="D12" t="inlineStr">
        <is>
          <t>B</t>
        </is>
      </c>
    </row>
    <row r="13">
      <c r="A13" t="inlineStr">
        <is>
          <t>P012</t>
        </is>
      </c>
      <c r="B13" t="inlineStr">
        <is>
          <t>Product 12</t>
        </is>
      </c>
      <c r="C13" s="3" t="n">
        <v>149.18</v>
      </c>
      <c r="D13" t="inlineStr">
        <is>
          <t>A</t>
        </is>
      </c>
    </row>
    <row r="14">
      <c r="A14" t="inlineStr">
        <is>
          <t>P013</t>
        </is>
      </c>
      <c r="B14" t="inlineStr">
        <is>
          <t>Product 13</t>
        </is>
      </c>
      <c r="C14" s="3" t="n">
        <v>217.67</v>
      </c>
      <c r="D14" t="inlineStr">
        <is>
          <t>B</t>
        </is>
      </c>
    </row>
    <row r="15">
      <c r="A15" t="inlineStr">
        <is>
          <t>P014</t>
        </is>
      </c>
      <c r="B15" t="inlineStr">
        <is>
          <t>Product 14</t>
        </is>
      </c>
      <c r="C15" s="3" t="n">
        <v>98.76000000000001</v>
      </c>
      <c r="D15" t="inlineStr">
        <is>
          <t>C</t>
        </is>
      </c>
    </row>
    <row r="16">
      <c r="A16" t="inlineStr">
        <is>
          <t>P015</t>
        </is>
      </c>
      <c r="B16" t="inlineStr">
        <is>
          <t>Product 15</t>
        </is>
      </c>
      <c r="C16" s="3" t="n">
        <v>16.41</v>
      </c>
      <c r="D16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0" customWidth="1" min="5" max="5"/>
    <col width="24" customWidth="1" min="6" max="6"/>
    <col width="24" customWidth="1" min="7" max="7"/>
    <col width="24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ProductCode</t>
        </is>
      </c>
      <c r="E1" s="1" t="inlineStr">
        <is>
          <t>Qty</t>
        </is>
      </c>
      <c r="F1" s="1" t="inlineStr">
        <is>
          <t>BasePrice</t>
        </is>
      </c>
      <c r="G1" s="1" t="inlineStr">
        <is>
          <t>PromoPct</t>
        </is>
      </c>
      <c r="H1" s="1" t="inlineStr">
        <is>
          <t>ShippingPct</t>
        </is>
      </c>
      <c r="I1" s="1" t="inlineStr">
        <is>
          <t>NetPrice</t>
        </is>
      </c>
      <c r="J1" s="1" t="inlineStr">
        <is>
          <t>ShippingAmount</t>
        </is>
      </c>
      <c r="K1" s="1" t="inlineStr">
        <is>
          <t>LineTotal</t>
        </is>
      </c>
    </row>
    <row r="2">
      <c r="A2" t="inlineStr">
        <is>
          <t>O-2001</t>
        </is>
      </c>
      <c r="B2" s="4" t="n">
        <v>45761</v>
      </c>
      <c r="C2" t="inlineStr">
        <is>
          <t>North</t>
        </is>
      </c>
      <c r="D2" t="inlineStr">
        <is>
          <t>P010</t>
        </is>
      </c>
      <c r="E2" t="n">
        <v>3</v>
      </c>
      <c r="F2" s="3">
        <f>VLOOKUP(D2,Products!$A$2:$D$16,3,FALSE)</f>
        <v/>
      </c>
      <c r="G2" s="2">
        <f>VLOOKUP(C2,Regions!$A$2:$C$5,3,FALSE)</f>
        <v/>
      </c>
      <c r="H2" s="2">
        <f>VLOOKUP(C2,Regions!$A$2:$C$5,2,FALSE)</f>
        <v/>
      </c>
      <c r="I2" s="3">
        <f>F2*(1-G2)</f>
        <v/>
      </c>
      <c r="J2" s="3">
        <f>I2*H2*E2</f>
        <v/>
      </c>
      <c r="K2" s="3">
        <f>I2*E2+J2</f>
        <v/>
      </c>
    </row>
    <row r="3">
      <c r="A3" t="inlineStr">
        <is>
          <t>O-2002</t>
        </is>
      </c>
      <c r="B3" s="4" t="n">
        <v>45856</v>
      </c>
      <c r="C3" t="inlineStr">
        <is>
          <t>North</t>
        </is>
      </c>
      <c r="D3" t="inlineStr">
        <is>
          <t>P004</t>
        </is>
      </c>
      <c r="E3" t="n">
        <v>8</v>
      </c>
      <c r="F3" s="3">
        <f>VLOOKUP(D3,Products!$A$2:$D$16,3,FALSE)</f>
        <v/>
      </c>
      <c r="G3" s="2">
        <f>VLOOKUP(C3,Regions!$A$2:$C$5,3,FALSE)</f>
        <v/>
      </c>
      <c r="H3" s="2">
        <f>VLOOKUP(C3,Regions!$A$2:$C$5,2,FALSE)</f>
        <v/>
      </c>
      <c r="I3" s="3">
        <f>F3*(1-G3)</f>
        <v/>
      </c>
      <c r="J3" s="3">
        <f>I3*H3*E3</f>
        <v/>
      </c>
      <c r="K3" s="3">
        <f>I3*E3+J3</f>
        <v/>
      </c>
    </row>
    <row r="4">
      <c r="A4" t="inlineStr">
        <is>
          <t>O-2003</t>
        </is>
      </c>
      <c r="B4" s="4" t="n">
        <v>45915</v>
      </c>
      <c r="C4" t="inlineStr">
        <is>
          <t>North</t>
        </is>
      </c>
      <c r="D4" t="inlineStr">
        <is>
          <t>P002</t>
        </is>
      </c>
      <c r="E4" t="n">
        <v>11</v>
      </c>
      <c r="F4" s="3">
        <f>VLOOKUP(D4,Products!$A$2:$D$16,3,FALSE)</f>
        <v/>
      </c>
      <c r="G4" s="2">
        <f>VLOOKUP(C4,Regions!$A$2:$C$5,3,FALSE)</f>
        <v/>
      </c>
      <c r="H4" s="2">
        <f>VLOOKUP(C4,Regions!$A$2:$C$5,2,FALSE)</f>
        <v/>
      </c>
      <c r="I4" s="3">
        <f>F4*(1-G4)</f>
        <v/>
      </c>
      <c r="J4" s="3">
        <f>I4*H4*E4</f>
        <v/>
      </c>
      <c r="K4" s="3">
        <f>I4*E4+J4</f>
        <v/>
      </c>
    </row>
    <row r="5">
      <c r="A5" t="inlineStr">
        <is>
          <t>O-2004</t>
        </is>
      </c>
      <c r="B5" s="4" t="n">
        <v>45754</v>
      </c>
      <c r="C5" t="inlineStr">
        <is>
          <t>South</t>
        </is>
      </c>
      <c r="D5" t="inlineStr">
        <is>
          <t>P004</t>
        </is>
      </c>
      <c r="E5" t="n">
        <v>12</v>
      </c>
      <c r="F5" s="3">
        <f>VLOOKUP(D5,Products!$A$2:$D$16,3,FALSE)</f>
        <v/>
      </c>
      <c r="G5" s="2">
        <f>VLOOKUP(C5,Regions!$A$2:$C$5,3,FALSE)</f>
        <v/>
      </c>
      <c r="H5" s="2">
        <f>VLOOKUP(C5,Regions!$A$2:$C$5,2,FALSE)</f>
        <v/>
      </c>
      <c r="I5" s="3">
        <f>F5*(1-G5)</f>
        <v/>
      </c>
      <c r="J5" s="3">
        <f>I5*H5*E5</f>
        <v/>
      </c>
      <c r="K5" s="3">
        <f>I5*E5+J5</f>
        <v/>
      </c>
    </row>
    <row r="6">
      <c r="A6" t="inlineStr">
        <is>
          <t>O-2005</t>
        </is>
      </c>
      <c r="B6" s="4" t="n">
        <v>45778</v>
      </c>
      <c r="C6" t="inlineStr">
        <is>
          <t>East</t>
        </is>
      </c>
      <c r="D6" t="inlineStr">
        <is>
          <t>P002</t>
        </is>
      </c>
      <c r="E6" t="n">
        <v>1</v>
      </c>
      <c r="F6" s="3">
        <f>VLOOKUP(D6,Products!$A$2:$D$16,3,FALSE)</f>
        <v/>
      </c>
      <c r="G6" s="2">
        <f>VLOOKUP(C6,Regions!$A$2:$C$5,3,FALSE)</f>
        <v/>
      </c>
      <c r="H6" s="2">
        <f>VLOOKUP(C6,Regions!$A$2:$C$5,2,FALSE)</f>
        <v/>
      </c>
      <c r="I6" s="3">
        <f>F6*(1-G6)</f>
        <v/>
      </c>
      <c r="J6" s="3">
        <f>I6*H6*E6</f>
        <v/>
      </c>
      <c r="K6" s="3">
        <f>I6*E6+J6</f>
        <v/>
      </c>
    </row>
    <row r="7">
      <c r="A7" t="inlineStr">
        <is>
          <t>O-2006</t>
        </is>
      </c>
      <c r="B7" s="4" t="n">
        <v>45980</v>
      </c>
      <c r="C7" t="inlineStr">
        <is>
          <t>West</t>
        </is>
      </c>
      <c r="D7" t="inlineStr">
        <is>
          <t>P002</t>
        </is>
      </c>
      <c r="E7" t="n">
        <v>5</v>
      </c>
      <c r="F7" s="3">
        <f>VLOOKUP(D7,Products!$A$2:$D$16,3,FALSE)</f>
        <v/>
      </c>
      <c r="G7" s="2">
        <f>VLOOKUP(C7,Regions!$A$2:$C$5,3,FALSE)</f>
        <v/>
      </c>
      <c r="H7" s="2">
        <f>VLOOKUP(C7,Regions!$A$2:$C$5,2,FALSE)</f>
        <v/>
      </c>
      <c r="I7" s="3">
        <f>F7*(1-G7)</f>
        <v/>
      </c>
      <c r="J7" s="3">
        <f>I7*H7*E7</f>
        <v/>
      </c>
      <c r="K7" s="3">
        <f>I7*E7+J7</f>
        <v/>
      </c>
    </row>
    <row r="8">
      <c r="A8" t="inlineStr">
        <is>
          <t>O-2007</t>
        </is>
      </c>
      <c r="B8" s="4" t="n">
        <v>45699</v>
      </c>
      <c r="C8" t="inlineStr">
        <is>
          <t>West</t>
        </is>
      </c>
      <c r="D8" t="inlineStr">
        <is>
          <t>P015</t>
        </is>
      </c>
      <c r="E8" t="n">
        <v>4</v>
      </c>
      <c r="F8" s="3">
        <f>VLOOKUP(D8,Products!$A$2:$D$16,3,FALSE)</f>
        <v/>
      </c>
      <c r="G8" s="2">
        <f>VLOOKUP(C8,Regions!$A$2:$C$5,3,FALSE)</f>
        <v/>
      </c>
      <c r="H8" s="2">
        <f>VLOOKUP(C8,Regions!$A$2:$C$5,2,FALSE)</f>
        <v/>
      </c>
      <c r="I8" s="3">
        <f>F8*(1-G8)</f>
        <v/>
      </c>
      <c r="J8" s="3">
        <f>I8*H8*E8</f>
        <v/>
      </c>
      <c r="K8" s="3">
        <f>I8*E8+J8</f>
        <v/>
      </c>
    </row>
    <row r="9">
      <c r="A9" t="inlineStr">
        <is>
          <t>O-2008</t>
        </is>
      </c>
      <c r="B9" s="4" t="n">
        <v>45714</v>
      </c>
      <c r="C9" t="inlineStr">
        <is>
          <t>South</t>
        </is>
      </c>
      <c r="D9" t="inlineStr">
        <is>
          <t>P010</t>
        </is>
      </c>
      <c r="E9" t="n">
        <v>2</v>
      </c>
      <c r="F9" s="3">
        <f>VLOOKUP(D9,Products!$A$2:$D$16,3,FALSE)</f>
        <v/>
      </c>
      <c r="G9" s="2">
        <f>VLOOKUP(C9,Regions!$A$2:$C$5,3,FALSE)</f>
        <v/>
      </c>
      <c r="H9" s="2">
        <f>VLOOKUP(C9,Regions!$A$2:$C$5,2,FALSE)</f>
        <v/>
      </c>
      <c r="I9" s="3">
        <f>F9*(1-G9)</f>
        <v/>
      </c>
      <c r="J9" s="3">
        <f>I9*H9*E9</f>
        <v/>
      </c>
      <c r="K9" s="3">
        <f>I9*E9+J9</f>
        <v/>
      </c>
    </row>
    <row r="10">
      <c r="A10" t="inlineStr">
        <is>
          <t>O-2009</t>
        </is>
      </c>
      <c r="B10" s="4" t="n">
        <v>45924</v>
      </c>
      <c r="C10" t="inlineStr">
        <is>
          <t>East</t>
        </is>
      </c>
      <c r="D10" t="inlineStr">
        <is>
          <t>P013</t>
        </is>
      </c>
      <c r="E10" t="n">
        <v>10</v>
      </c>
      <c r="F10" s="3">
        <f>VLOOKUP(D10,Products!$A$2:$D$16,3,FALSE)</f>
        <v/>
      </c>
      <c r="G10" s="2">
        <f>VLOOKUP(C10,Regions!$A$2:$C$5,3,FALSE)</f>
        <v/>
      </c>
      <c r="H10" s="2">
        <f>VLOOKUP(C10,Regions!$A$2:$C$5,2,FALSE)</f>
        <v/>
      </c>
      <c r="I10" s="3">
        <f>F10*(1-G10)</f>
        <v/>
      </c>
      <c r="J10" s="3">
        <f>I10*H10*E10</f>
        <v/>
      </c>
      <c r="K10" s="3">
        <f>I10*E10+J10</f>
        <v/>
      </c>
    </row>
    <row r="11">
      <c r="A11" t="inlineStr">
        <is>
          <t>O-2010</t>
        </is>
      </c>
      <c r="B11" s="4" t="n">
        <v>46000</v>
      </c>
      <c r="C11" t="inlineStr">
        <is>
          <t>South</t>
        </is>
      </c>
      <c r="D11" t="inlineStr">
        <is>
          <t>P001</t>
        </is>
      </c>
      <c r="E11" t="n">
        <v>8</v>
      </c>
      <c r="F11" s="3">
        <f>VLOOKUP(D11,Products!$A$2:$D$16,3,FALSE)</f>
        <v/>
      </c>
      <c r="G11" s="2">
        <f>VLOOKUP(C11,Regions!$A$2:$C$5,3,FALSE)</f>
        <v/>
      </c>
      <c r="H11" s="2">
        <f>VLOOKUP(C11,Regions!$A$2:$C$5,2,FALSE)</f>
        <v/>
      </c>
      <c r="I11" s="3">
        <f>F11*(1-G11)</f>
        <v/>
      </c>
      <c r="J11" s="3">
        <f>I11*H11*E11</f>
        <v/>
      </c>
      <c r="K11" s="3">
        <f>I11*E11+J11</f>
        <v/>
      </c>
    </row>
    <row r="12">
      <c r="A12" t="inlineStr">
        <is>
          <t>O-2011</t>
        </is>
      </c>
      <c r="B12" s="4" t="n">
        <v>45992</v>
      </c>
      <c r="C12" t="inlineStr">
        <is>
          <t>South</t>
        </is>
      </c>
      <c r="D12" t="inlineStr">
        <is>
          <t>P011</t>
        </is>
      </c>
      <c r="E12" t="n">
        <v>12</v>
      </c>
      <c r="F12" s="3">
        <f>VLOOKUP(D12,Products!$A$2:$D$16,3,FALSE)</f>
        <v/>
      </c>
      <c r="G12" s="2">
        <f>VLOOKUP(C12,Regions!$A$2:$C$5,3,FALSE)</f>
        <v/>
      </c>
      <c r="H12" s="2">
        <f>VLOOKUP(C12,Regions!$A$2:$C$5,2,FALSE)</f>
        <v/>
      </c>
      <c r="I12" s="3">
        <f>F12*(1-G12)</f>
        <v/>
      </c>
      <c r="J12" s="3">
        <f>I12*H12*E12</f>
        <v/>
      </c>
      <c r="K12" s="3">
        <f>I12*E12+J12</f>
        <v/>
      </c>
    </row>
    <row r="13">
      <c r="A13" t="inlineStr">
        <is>
          <t>O-2012</t>
        </is>
      </c>
      <c r="B13" s="4" t="n">
        <v>45849</v>
      </c>
      <c r="C13" t="inlineStr">
        <is>
          <t>West</t>
        </is>
      </c>
      <c r="D13" t="inlineStr">
        <is>
          <t>P014</t>
        </is>
      </c>
      <c r="E13" t="n">
        <v>4</v>
      </c>
      <c r="F13" s="3">
        <f>VLOOKUP(D13,Products!$A$2:$D$16,3,FALSE)</f>
        <v/>
      </c>
      <c r="G13" s="2">
        <f>VLOOKUP(C13,Regions!$A$2:$C$5,3,FALSE)</f>
        <v/>
      </c>
      <c r="H13" s="2">
        <f>VLOOKUP(C13,Regions!$A$2:$C$5,2,FALSE)</f>
        <v/>
      </c>
      <c r="I13" s="3">
        <f>F13*(1-G13)</f>
        <v/>
      </c>
      <c r="J13" s="3">
        <f>I13*H13*E13</f>
        <v/>
      </c>
      <c r="K13" s="3">
        <f>I13*E13+J13</f>
        <v/>
      </c>
    </row>
    <row r="14">
      <c r="A14" t="inlineStr">
        <is>
          <t>O-2013</t>
        </is>
      </c>
      <c r="B14" s="4" t="n">
        <v>45938</v>
      </c>
      <c r="C14" t="inlineStr">
        <is>
          <t>North</t>
        </is>
      </c>
      <c r="D14" t="inlineStr">
        <is>
          <t>P002</t>
        </is>
      </c>
      <c r="E14" t="n">
        <v>9</v>
      </c>
      <c r="F14" s="3">
        <f>VLOOKUP(D14,Products!$A$2:$D$16,3,FALSE)</f>
        <v/>
      </c>
      <c r="G14" s="2">
        <f>VLOOKUP(C14,Regions!$A$2:$C$5,3,FALSE)</f>
        <v/>
      </c>
      <c r="H14" s="2">
        <f>VLOOKUP(C14,Regions!$A$2:$C$5,2,FALSE)</f>
        <v/>
      </c>
      <c r="I14" s="3">
        <f>F14*(1-G14)</f>
        <v/>
      </c>
      <c r="J14" s="3">
        <f>I14*H14*E14</f>
        <v/>
      </c>
      <c r="K14" s="3">
        <f>I14*E14+J14</f>
        <v/>
      </c>
    </row>
    <row r="15">
      <c r="A15" t="inlineStr">
        <is>
          <t>O-2014</t>
        </is>
      </c>
      <c r="B15" s="4" t="n">
        <v>46003</v>
      </c>
      <c r="C15" t="inlineStr">
        <is>
          <t>East</t>
        </is>
      </c>
      <c r="D15" t="inlineStr">
        <is>
          <t>P001</t>
        </is>
      </c>
      <c r="E15" t="n">
        <v>7</v>
      </c>
      <c r="F15" s="3">
        <f>VLOOKUP(D15,Products!$A$2:$D$16,3,FALSE)</f>
        <v/>
      </c>
      <c r="G15" s="2">
        <f>VLOOKUP(C15,Regions!$A$2:$C$5,3,FALSE)</f>
        <v/>
      </c>
      <c r="H15" s="2">
        <f>VLOOKUP(C15,Regions!$A$2:$C$5,2,FALSE)</f>
        <v/>
      </c>
      <c r="I15" s="3">
        <f>F15*(1-G15)</f>
        <v/>
      </c>
      <c r="J15" s="3">
        <f>I15*H15*E15</f>
        <v/>
      </c>
      <c r="K15" s="3">
        <f>I15*E15+J15</f>
        <v/>
      </c>
    </row>
    <row r="16">
      <c r="A16" t="inlineStr">
        <is>
          <t>O-2015</t>
        </is>
      </c>
      <c r="B16" s="4" t="n">
        <v>45923</v>
      </c>
      <c r="C16" t="inlineStr">
        <is>
          <t>East</t>
        </is>
      </c>
      <c r="D16" t="inlineStr">
        <is>
          <t>P013</t>
        </is>
      </c>
      <c r="E16" t="n">
        <v>8</v>
      </c>
      <c r="F16" s="3">
        <f>VLOOKUP(D16,Products!$A$2:$D$16,3,FALSE)</f>
        <v/>
      </c>
      <c r="G16" s="2">
        <f>VLOOKUP(C16,Regions!$A$2:$C$5,3,FALSE)</f>
        <v/>
      </c>
      <c r="H16" s="2">
        <f>VLOOKUP(C16,Regions!$A$2:$C$5,2,FALSE)</f>
        <v/>
      </c>
      <c r="I16" s="3">
        <f>F16*(1-G16)</f>
        <v/>
      </c>
      <c r="J16" s="3">
        <f>I16*H16*E16</f>
        <v/>
      </c>
      <c r="K16" s="3">
        <f>I16*E16+J16</f>
        <v/>
      </c>
    </row>
    <row r="17">
      <c r="A17" t="inlineStr">
        <is>
          <t>O-2016</t>
        </is>
      </c>
      <c r="B17" s="4" t="n">
        <v>45709</v>
      </c>
      <c r="C17" t="inlineStr">
        <is>
          <t>South</t>
        </is>
      </c>
      <c r="D17" t="inlineStr">
        <is>
          <t>P001</t>
        </is>
      </c>
      <c r="E17" t="n">
        <v>12</v>
      </c>
      <c r="F17" s="3">
        <f>VLOOKUP(D17,Products!$A$2:$D$16,3,FALSE)</f>
        <v/>
      </c>
      <c r="G17" s="2">
        <f>VLOOKUP(C17,Regions!$A$2:$C$5,3,FALSE)</f>
        <v/>
      </c>
      <c r="H17" s="2">
        <f>VLOOKUP(C17,Regions!$A$2:$C$5,2,FALSE)</f>
        <v/>
      </c>
      <c r="I17" s="3">
        <f>F17*(1-G17)</f>
        <v/>
      </c>
      <c r="J17" s="3">
        <f>I17*H17*E17</f>
        <v/>
      </c>
      <c r="K17" s="3">
        <f>I17*E17+J17</f>
        <v/>
      </c>
    </row>
    <row r="18">
      <c r="A18" t="inlineStr">
        <is>
          <t>O-2017</t>
        </is>
      </c>
      <c r="B18" s="4" t="n">
        <v>45753</v>
      </c>
      <c r="C18" t="inlineStr">
        <is>
          <t>North</t>
        </is>
      </c>
      <c r="D18" t="inlineStr">
        <is>
          <t>P011</t>
        </is>
      </c>
      <c r="E18" t="n">
        <v>5</v>
      </c>
      <c r="F18" s="3">
        <f>VLOOKUP(D18,Products!$A$2:$D$16,3,FALSE)</f>
        <v/>
      </c>
      <c r="G18" s="2">
        <f>VLOOKUP(C18,Regions!$A$2:$C$5,3,FALSE)</f>
        <v/>
      </c>
      <c r="H18" s="2">
        <f>VLOOKUP(C18,Regions!$A$2:$C$5,2,FALSE)</f>
        <v/>
      </c>
      <c r="I18" s="3">
        <f>F18*(1-G18)</f>
        <v/>
      </c>
      <c r="J18" s="3">
        <f>I18*H18*E18</f>
        <v/>
      </c>
      <c r="K18" s="3">
        <f>I18*E18+J18</f>
        <v/>
      </c>
    </row>
    <row r="19">
      <c r="A19" t="inlineStr">
        <is>
          <t>O-2018</t>
        </is>
      </c>
      <c r="B19" s="4" t="n">
        <v>45681</v>
      </c>
      <c r="C19" t="inlineStr">
        <is>
          <t>South</t>
        </is>
      </c>
      <c r="D19" t="inlineStr">
        <is>
          <t>P004</t>
        </is>
      </c>
      <c r="E19" t="n">
        <v>12</v>
      </c>
      <c r="F19" s="3">
        <f>VLOOKUP(D19,Products!$A$2:$D$16,3,FALSE)</f>
        <v/>
      </c>
      <c r="G19" s="2">
        <f>VLOOKUP(C19,Regions!$A$2:$C$5,3,FALSE)</f>
        <v/>
      </c>
      <c r="H19" s="2">
        <f>VLOOKUP(C19,Regions!$A$2:$C$5,2,FALSE)</f>
        <v/>
      </c>
      <c r="I19" s="3">
        <f>F19*(1-G19)</f>
        <v/>
      </c>
      <c r="J19" s="3">
        <f>I19*H19*E19</f>
        <v/>
      </c>
      <c r="K19" s="3">
        <f>I19*E19+J19</f>
        <v/>
      </c>
    </row>
    <row r="20">
      <c r="A20" t="inlineStr">
        <is>
          <t>O-2019</t>
        </is>
      </c>
      <c r="B20" s="4" t="n">
        <v>45752</v>
      </c>
      <c r="C20" t="inlineStr">
        <is>
          <t>South</t>
        </is>
      </c>
      <c r="D20" t="inlineStr">
        <is>
          <t>P004</t>
        </is>
      </c>
      <c r="E20" t="n">
        <v>4</v>
      </c>
      <c r="F20" s="3">
        <f>VLOOKUP(D20,Products!$A$2:$D$16,3,FALSE)</f>
        <v/>
      </c>
      <c r="G20" s="2">
        <f>VLOOKUP(C20,Regions!$A$2:$C$5,3,FALSE)</f>
        <v/>
      </c>
      <c r="H20" s="2">
        <f>VLOOKUP(C20,Regions!$A$2:$C$5,2,FALSE)</f>
        <v/>
      </c>
      <c r="I20" s="3">
        <f>F20*(1-G20)</f>
        <v/>
      </c>
      <c r="J20" s="3">
        <f>I20*H20*E20</f>
        <v/>
      </c>
      <c r="K20" s="3">
        <f>I20*E20+J20</f>
        <v/>
      </c>
    </row>
    <row r="21">
      <c r="A21" t="inlineStr">
        <is>
          <t>O-2020</t>
        </is>
      </c>
      <c r="B21" s="4" t="n">
        <v>45976</v>
      </c>
      <c r="C21" t="inlineStr">
        <is>
          <t>East</t>
        </is>
      </c>
      <c r="D21" t="inlineStr">
        <is>
          <t>P008</t>
        </is>
      </c>
      <c r="E21" t="n">
        <v>1</v>
      </c>
      <c r="F21" s="3">
        <f>VLOOKUP(D21,Products!$A$2:$D$16,3,FALSE)</f>
        <v/>
      </c>
      <c r="G21" s="2">
        <f>VLOOKUP(C21,Regions!$A$2:$C$5,3,FALSE)</f>
        <v/>
      </c>
      <c r="H21" s="2">
        <f>VLOOKUP(C21,Regions!$A$2:$C$5,2,FALSE)</f>
        <v/>
      </c>
      <c r="I21" s="3">
        <f>F21*(1-G21)</f>
        <v/>
      </c>
      <c r="J21" s="3">
        <f>I21*H21*E21</f>
        <v/>
      </c>
      <c r="K21" s="3">
        <f>I21*E21+J21</f>
        <v/>
      </c>
    </row>
    <row r="22">
      <c r="A22" t="inlineStr">
        <is>
          <t>O-2021</t>
        </is>
      </c>
      <c r="B22" s="4" t="n">
        <v>45661</v>
      </c>
      <c r="C22" t="inlineStr">
        <is>
          <t>South</t>
        </is>
      </c>
      <c r="D22" t="inlineStr">
        <is>
          <t>P010</t>
        </is>
      </c>
      <c r="E22" t="n">
        <v>3</v>
      </c>
      <c r="F22" s="3">
        <f>VLOOKUP(D22,Products!$A$2:$D$16,3,FALSE)</f>
        <v/>
      </c>
      <c r="G22" s="2">
        <f>VLOOKUP(C22,Regions!$A$2:$C$5,3,FALSE)</f>
        <v/>
      </c>
      <c r="H22" s="2">
        <f>VLOOKUP(C22,Regions!$A$2:$C$5,2,FALSE)</f>
        <v/>
      </c>
      <c r="I22" s="3">
        <f>F22*(1-G22)</f>
        <v/>
      </c>
      <c r="J22" s="3">
        <f>I22*H22*E22</f>
        <v/>
      </c>
      <c r="K22" s="3">
        <f>I22*E22+J22</f>
        <v/>
      </c>
    </row>
    <row r="23">
      <c r="A23" t="inlineStr">
        <is>
          <t>O-2022</t>
        </is>
      </c>
      <c r="B23" s="4" t="n">
        <v>45804</v>
      </c>
      <c r="C23" t="inlineStr">
        <is>
          <t>South</t>
        </is>
      </c>
      <c r="D23" t="inlineStr">
        <is>
          <t>P006</t>
        </is>
      </c>
      <c r="E23" t="n">
        <v>11</v>
      </c>
      <c r="F23" s="3">
        <f>VLOOKUP(D23,Products!$A$2:$D$16,3,FALSE)</f>
        <v/>
      </c>
      <c r="G23" s="2">
        <f>VLOOKUP(C23,Regions!$A$2:$C$5,3,FALSE)</f>
        <v/>
      </c>
      <c r="H23" s="2">
        <f>VLOOKUP(C23,Regions!$A$2:$C$5,2,FALSE)</f>
        <v/>
      </c>
      <c r="I23" s="3">
        <f>F23*(1-G23)</f>
        <v/>
      </c>
      <c r="J23" s="3">
        <f>I23*H23*E23</f>
        <v/>
      </c>
      <c r="K23" s="3">
        <f>I23*E23+J23</f>
        <v/>
      </c>
    </row>
    <row r="24">
      <c r="A24" t="inlineStr">
        <is>
          <t>O-2023</t>
        </is>
      </c>
      <c r="B24" s="4" t="n">
        <v>45715</v>
      </c>
      <c r="C24" t="inlineStr">
        <is>
          <t>West</t>
        </is>
      </c>
      <c r="D24" t="inlineStr">
        <is>
          <t>P003</t>
        </is>
      </c>
      <c r="E24" t="n">
        <v>12</v>
      </c>
      <c r="F24" s="3">
        <f>VLOOKUP(D24,Products!$A$2:$D$16,3,FALSE)</f>
        <v/>
      </c>
      <c r="G24" s="2">
        <f>VLOOKUP(C24,Regions!$A$2:$C$5,3,FALSE)</f>
        <v/>
      </c>
      <c r="H24" s="2">
        <f>VLOOKUP(C24,Regions!$A$2:$C$5,2,FALSE)</f>
        <v/>
      </c>
      <c r="I24" s="3">
        <f>F24*(1-G24)</f>
        <v/>
      </c>
      <c r="J24" s="3">
        <f>I24*H24*E24</f>
        <v/>
      </c>
      <c r="K24" s="3">
        <f>I24*E24+J24</f>
        <v/>
      </c>
    </row>
    <row r="25">
      <c r="A25" t="inlineStr">
        <is>
          <t>O-2024</t>
        </is>
      </c>
      <c r="B25" s="4" t="n">
        <v>45663</v>
      </c>
      <c r="C25" t="inlineStr">
        <is>
          <t>South</t>
        </is>
      </c>
      <c r="D25" t="inlineStr">
        <is>
          <t>P008</t>
        </is>
      </c>
      <c r="E25" t="n">
        <v>7</v>
      </c>
      <c r="F25" s="3">
        <f>VLOOKUP(D25,Products!$A$2:$D$16,3,FALSE)</f>
        <v/>
      </c>
      <c r="G25" s="2">
        <f>VLOOKUP(C25,Regions!$A$2:$C$5,3,FALSE)</f>
        <v/>
      </c>
      <c r="H25" s="2">
        <f>VLOOKUP(C25,Regions!$A$2:$C$5,2,FALSE)</f>
        <v/>
      </c>
      <c r="I25" s="3">
        <f>F25*(1-G25)</f>
        <v/>
      </c>
      <c r="J25" s="3">
        <f>I25*H25*E25</f>
        <v/>
      </c>
      <c r="K25" s="3">
        <f>I25*E25+J25</f>
        <v/>
      </c>
    </row>
    <row r="26">
      <c r="A26" t="inlineStr">
        <is>
          <t>O-2025</t>
        </is>
      </c>
      <c r="B26" s="4" t="n">
        <v>45738</v>
      </c>
      <c r="C26" t="inlineStr">
        <is>
          <t>East</t>
        </is>
      </c>
      <c r="D26" t="inlineStr">
        <is>
          <t>P001</t>
        </is>
      </c>
      <c r="E26" t="n">
        <v>9</v>
      </c>
      <c r="F26" s="3">
        <f>VLOOKUP(D26,Products!$A$2:$D$16,3,FALSE)</f>
        <v/>
      </c>
      <c r="G26" s="2">
        <f>VLOOKUP(C26,Regions!$A$2:$C$5,3,FALSE)</f>
        <v/>
      </c>
      <c r="H26" s="2">
        <f>VLOOKUP(C26,Regions!$A$2:$C$5,2,FALSE)</f>
        <v/>
      </c>
      <c r="I26" s="3">
        <f>F26*(1-G26)</f>
        <v/>
      </c>
      <c r="J26" s="3">
        <f>I26*H26*E26</f>
        <v/>
      </c>
      <c r="K26" s="3">
        <f>I26*E26+J26</f>
        <v/>
      </c>
    </row>
    <row r="27">
      <c r="A27" t="inlineStr">
        <is>
          <t>O-2026</t>
        </is>
      </c>
      <c r="B27" s="4" t="n">
        <v>45723</v>
      </c>
      <c r="C27" t="inlineStr">
        <is>
          <t>West</t>
        </is>
      </c>
      <c r="D27" t="inlineStr">
        <is>
          <t>P002</t>
        </is>
      </c>
      <c r="E27" t="n">
        <v>2</v>
      </c>
      <c r="F27" s="3">
        <f>VLOOKUP(D27,Products!$A$2:$D$16,3,FALSE)</f>
        <v/>
      </c>
      <c r="G27" s="2">
        <f>VLOOKUP(C27,Regions!$A$2:$C$5,3,FALSE)</f>
        <v/>
      </c>
      <c r="H27" s="2">
        <f>VLOOKUP(C27,Regions!$A$2:$C$5,2,FALSE)</f>
        <v/>
      </c>
      <c r="I27" s="3">
        <f>F27*(1-G27)</f>
        <v/>
      </c>
      <c r="J27" s="3">
        <f>I27*H27*E27</f>
        <v/>
      </c>
      <c r="K27" s="3">
        <f>I27*E27+J27</f>
        <v/>
      </c>
    </row>
    <row r="28">
      <c r="A28" t="inlineStr">
        <is>
          <t>O-2027</t>
        </is>
      </c>
      <c r="B28" s="4" t="n">
        <v>45702</v>
      </c>
      <c r="C28" t="inlineStr">
        <is>
          <t>North</t>
        </is>
      </c>
      <c r="D28" t="inlineStr">
        <is>
          <t>P003</t>
        </is>
      </c>
      <c r="E28" t="n">
        <v>7</v>
      </c>
      <c r="F28" s="3">
        <f>VLOOKUP(D28,Products!$A$2:$D$16,3,FALSE)</f>
        <v/>
      </c>
      <c r="G28" s="2">
        <f>VLOOKUP(C28,Regions!$A$2:$C$5,3,FALSE)</f>
        <v/>
      </c>
      <c r="H28" s="2">
        <f>VLOOKUP(C28,Regions!$A$2:$C$5,2,FALSE)</f>
        <v/>
      </c>
      <c r="I28" s="3">
        <f>F28*(1-G28)</f>
        <v/>
      </c>
      <c r="J28" s="3">
        <f>I28*H28*E28</f>
        <v/>
      </c>
      <c r="K28" s="3">
        <f>I28*E28+J28</f>
        <v/>
      </c>
    </row>
    <row r="29">
      <c r="A29" t="inlineStr">
        <is>
          <t>O-2028</t>
        </is>
      </c>
      <c r="B29" s="4" t="n">
        <v>45800</v>
      </c>
      <c r="C29" t="inlineStr">
        <is>
          <t>South</t>
        </is>
      </c>
      <c r="D29" t="inlineStr">
        <is>
          <t>P012</t>
        </is>
      </c>
      <c r="E29" t="n">
        <v>3</v>
      </c>
      <c r="F29" s="3">
        <f>VLOOKUP(D29,Products!$A$2:$D$16,3,FALSE)</f>
        <v/>
      </c>
      <c r="G29" s="2">
        <f>VLOOKUP(C29,Regions!$A$2:$C$5,3,FALSE)</f>
        <v/>
      </c>
      <c r="H29" s="2">
        <f>VLOOKUP(C29,Regions!$A$2:$C$5,2,FALSE)</f>
        <v/>
      </c>
      <c r="I29" s="3">
        <f>F29*(1-G29)</f>
        <v/>
      </c>
      <c r="J29" s="3">
        <f>I29*H29*E29</f>
        <v/>
      </c>
      <c r="K29" s="3">
        <f>I29*E29+J29</f>
        <v/>
      </c>
    </row>
    <row r="30">
      <c r="A30" t="inlineStr">
        <is>
          <t>O-2029</t>
        </is>
      </c>
      <c r="B30" s="4" t="n">
        <v>45743</v>
      </c>
      <c r="C30" t="inlineStr">
        <is>
          <t>East</t>
        </is>
      </c>
      <c r="D30" t="inlineStr">
        <is>
          <t>P015</t>
        </is>
      </c>
      <c r="E30" t="n">
        <v>8</v>
      </c>
      <c r="F30" s="3">
        <f>VLOOKUP(D30,Products!$A$2:$D$16,3,FALSE)</f>
        <v/>
      </c>
      <c r="G30" s="2">
        <f>VLOOKUP(C30,Regions!$A$2:$C$5,3,FALSE)</f>
        <v/>
      </c>
      <c r="H30" s="2">
        <f>VLOOKUP(C30,Regions!$A$2:$C$5,2,FALSE)</f>
        <v/>
      </c>
      <c r="I30" s="3">
        <f>F30*(1-G30)</f>
        <v/>
      </c>
      <c r="J30" s="3">
        <f>I30*H30*E30</f>
        <v/>
      </c>
      <c r="K30" s="3">
        <f>I30*E30+J30</f>
        <v/>
      </c>
    </row>
    <row r="31">
      <c r="A31" t="inlineStr">
        <is>
          <t>O-2030</t>
        </is>
      </c>
      <c r="B31" s="4" t="n">
        <v>45736</v>
      </c>
      <c r="C31" t="inlineStr">
        <is>
          <t>South</t>
        </is>
      </c>
      <c r="D31" t="inlineStr">
        <is>
          <t>P008</t>
        </is>
      </c>
      <c r="E31" t="n">
        <v>7</v>
      </c>
      <c r="F31" s="3">
        <f>VLOOKUP(D31,Products!$A$2:$D$16,3,FALSE)</f>
        <v/>
      </c>
      <c r="G31" s="2">
        <f>VLOOKUP(C31,Regions!$A$2:$C$5,3,FALSE)</f>
        <v/>
      </c>
      <c r="H31" s="2">
        <f>VLOOKUP(C31,Regions!$A$2:$C$5,2,FALSE)</f>
        <v/>
      </c>
      <c r="I31" s="3">
        <f>F31*(1-G31)</f>
        <v/>
      </c>
      <c r="J31" s="3">
        <f>I31*H31*E31</f>
        <v/>
      </c>
      <c r="K31" s="3">
        <f>I31*E31+J31</f>
        <v/>
      </c>
    </row>
    <row r="32">
      <c r="A32" t="inlineStr">
        <is>
          <t>O-2031</t>
        </is>
      </c>
      <c r="B32" s="4" t="n">
        <v>45797</v>
      </c>
      <c r="C32" t="inlineStr">
        <is>
          <t>West</t>
        </is>
      </c>
      <c r="D32" t="inlineStr">
        <is>
          <t>P005</t>
        </is>
      </c>
      <c r="E32" t="n">
        <v>6</v>
      </c>
      <c r="F32" s="3">
        <f>VLOOKUP(D32,Products!$A$2:$D$16,3,FALSE)</f>
        <v/>
      </c>
      <c r="G32" s="2">
        <f>VLOOKUP(C32,Regions!$A$2:$C$5,3,FALSE)</f>
        <v/>
      </c>
      <c r="H32" s="2">
        <f>VLOOKUP(C32,Regions!$A$2:$C$5,2,FALSE)</f>
        <v/>
      </c>
      <c r="I32" s="3">
        <f>F32*(1-G32)</f>
        <v/>
      </c>
      <c r="J32" s="3">
        <f>I32*H32*E32</f>
        <v/>
      </c>
      <c r="K32" s="3">
        <f>I32*E32+J32</f>
        <v/>
      </c>
    </row>
    <row r="33">
      <c r="A33" t="inlineStr">
        <is>
          <t>O-2032</t>
        </is>
      </c>
      <c r="B33" s="4" t="n">
        <v>45664</v>
      </c>
      <c r="C33" t="inlineStr">
        <is>
          <t>South</t>
        </is>
      </c>
      <c r="D33" t="inlineStr">
        <is>
          <t>P015</t>
        </is>
      </c>
      <c r="E33" t="n">
        <v>12</v>
      </c>
      <c r="F33" s="3">
        <f>VLOOKUP(D33,Products!$A$2:$D$16,3,FALSE)</f>
        <v/>
      </c>
      <c r="G33" s="2">
        <f>VLOOKUP(C33,Regions!$A$2:$C$5,3,FALSE)</f>
        <v/>
      </c>
      <c r="H33" s="2">
        <f>VLOOKUP(C33,Regions!$A$2:$C$5,2,FALSE)</f>
        <v/>
      </c>
      <c r="I33" s="3">
        <f>F33*(1-G33)</f>
        <v/>
      </c>
      <c r="J33" s="3">
        <f>I33*H33*E33</f>
        <v/>
      </c>
      <c r="K33" s="3">
        <f>I33*E33+J33</f>
        <v/>
      </c>
    </row>
    <row r="34">
      <c r="A34" t="inlineStr">
        <is>
          <t>O-2033</t>
        </is>
      </c>
      <c r="B34" s="4" t="n">
        <v>45915</v>
      </c>
      <c r="C34" t="inlineStr">
        <is>
          <t>West</t>
        </is>
      </c>
      <c r="D34" t="inlineStr">
        <is>
          <t>P005</t>
        </is>
      </c>
      <c r="E34" t="n">
        <v>7</v>
      </c>
      <c r="F34" s="3">
        <f>VLOOKUP(D34,Products!$A$2:$D$16,3,FALSE)</f>
        <v/>
      </c>
      <c r="G34" s="2">
        <f>VLOOKUP(C34,Regions!$A$2:$C$5,3,FALSE)</f>
        <v/>
      </c>
      <c r="H34" s="2">
        <f>VLOOKUP(C34,Regions!$A$2:$C$5,2,FALSE)</f>
        <v/>
      </c>
      <c r="I34" s="3">
        <f>F34*(1-G34)</f>
        <v/>
      </c>
      <c r="J34" s="3">
        <f>I34*H34*E34</f>
        <v/>
      </c>
      <c r="K34" s="3">
        <f>I34*E34+J34</f>
        <v/>
      </c>
    </row>
    <row r="35">
      <c r="A35" t="inlineStr">
        <is>
          <t>O-2034</t>
        </is>
      </c>
      <c r="B35" s="4" t="n">
        <v>45714</v>
      </c>
      <c r="C35" t="inlineStr">
        <is>
          <t>North</t>
        </is>
      </c>
      <c r="D35" t="inlineStr">
        <is>
          <t>P014</t>
        </is>
      </c>
      <c r="E35" t="n">
        <v>10</v>
      </c>
      <c r="F35" s="3">
        <f>VLOOKUP(D35,Products!$A$2:$D$16,3,FALSE)</f>
        <v/>
      </c>
      <c r="G35" s="2">
        <f>VLOOKUP(C35,Regions!$A$2:$C$5,3,FALSE)</f>
        <v/>
      </c>
      <c r="H35" s="2">
        <f>VLOOKUP(C35,Regions!$A$2:$C$5,2,FALSE)</f>
        <v/>
      </c>
      <c r="I35" s="3">
        <f>F35*(1-G35)</f>
        <v/>
      </c>
      <c r="J35" s="3">
        <f>I35*H35*E35</f>
        <v/>
      </c>
      <c r="K35" s="3">
        <f>I35*E35+J35</f>
        <v/>
      </c>
    </row>
    <row r="36">
      <c r="A36" t="inlineStr">
        <is>
          <t>O-2035</t>
        </is>
      </c>
      <c r="B36" s="4" t="n">
        <v>45771</v>
      </c>
      <c r="C36" t="inlineStr">
        <is>
          <t>South</t>
        </is>
      </c>
      <c r="D36" t="inlineStr">
        <is>
          <t>P015</t>
        </is>
      </c>
      <c r="E36" t="n">
        <v>1</v>
      </c>
      <c r="F36" s="3">
        <f>VLOOKUP(D36,Products!$A$2:$D$16,3,FALSE)</f>
        <v/>
      </c>
      <c r="G36" s="2">
        <f>VLOOKUP(C36,Regions!$A$2:$C$5,3,FALSE)</f>
        <v/>
      </c>
      <c r="H36" s="2">
        <f>VLOOKUP(C36,Regions!$A$2:$C$5,2,FALSE)</f>
        <v/>
      </c>
      <c r="I36" s="3">
        <f>F36*(1-G36)</f>
        <v/>
      </c>
      <c r="J36" s="3">
        <f>I36*H36*E36</f>
        <v/>
      </c>
      <c r="K36" s="3">
        <f>I36*E36+J36</f>
        <v/>
      </c>
    </row>
    <row r="37">
      <c r="A37" t="inlineStr">
        <is>
          <t>O-2036</t>
        </is>
      </c>
      <c r="B37" s="4" t="n">
        <v>45859</v>
      </c>
      <c r="C37" t="inlineStr">
        <is>
          <t>North</t>
        </is>
      </c>
      <c r="D37" t="inlineStr">
        <is>
          <t>P009</t>
        </is>
      </c>
      <c r="E37" t="n">
        <v>8</v>
      </c>
      <c r="F37" s="3">
        <f>VLOOKUP(D37,Products!$A$2:$D$16,3,FALSE)</f>
        <v/>
      </c>
      <c r="G37" s="2">
        <f>VLOOKUP(C37,Regions!$A$2:$C$5,3,FALSE)</f>
        <v/>
      </c>
      <c r="H37" s="2">
        <f>VLOOKUP(C37,Regions!$A$2:$C$5,2,FALSE)</f>
        <v/>
      </c>
      <c r="I37" s="3">
        <f>F37*(1-G37)</f>
        <v/>
      </c>
      <c r="J37" s="3">
        <f>I37*H37*E37</f>
        <v/>
      </c>
      <c r="K37" s="3">
        <f>I37*E37+J37</f>
        <v/>
      </c>
    </row>
    <row r="38">
      <c r="A38" t="inlineStr">
        <is>
          <t>O-2037</t>
        </is>
      </c>
      <c r="B38" s="4" t="n">
        <v>45734</v>
      </c>
      <c r="C38" t="inlineStr">
        <is>
          <t>South</t>
        </is>
      </c>
      <c r="D38" t="inlineStr">
        <is>
          <t>P001</t>
        </is>
      </c>
      <c r="E38" t="n">
        <v>9</v>
      </c>
      <c r="F38" s="3">
        <f>VLOOKUP(D38,Products!$A$2:$D$16,3,FALSE)</f>
        <v/>
      </c>
      <c r="G38" s="2">
        <f>VLOOKUP(C38,Regions!$A$2:$C$5,3,FALSE)</f>
        <v/>
      </c>
      <c r="H38" s="2">
        <f>VLOOKUP(C38,Regions!$A$2:$C$5,2,FALSE)</f>
        <v/>
      </c>
      <c r="I38" s="3">
        <f>F38*(1-G38)</f>
        <v/>
      </c>
      <c r="J38" s="3">
        <f>I38*H38*E38</f>
        <v/>
      </c>
      <c r="K38" s="3">
        <f>I38*E38+J38</f>
        <v/>
      </c>
    </row>
    <row r="39">
      <c r="A39" t="inlineStr">
        <is>
          <t>O-2038</t>
        </is>
      </c>
      <c r="B39" s="4" t="n">
        <v>45749</v>
      </c>
      <c r="C39" t="inlineStr">
        <is>
          <t>South</t>
        </is>
      </c>
      <c r="D39" t="inlineStr">
        <is>
          <t>P013</t>
        </is>
      </c>
      <c r="E39" t="n">
        <v>3</v>
      </c>
      <c r="F39" s="3">
        <f>VLOOKUP(D39,Products!$A$2:$D$16,3,FALSE)</f>
        <v/>
      </c>
      <c r="G39" s="2">
        <f>VLOOKUP(C39,Regions!$A$2:$C$5,3,FALSE)</f>
        <v/>
      </c>
      <c r="H39" s="2">
        <f>VLOOKUP(C39,Regions!$A$2:$C$5,2,FALSE)</f>
        <v/>
      </c>
      <c r="I39" s="3">
        <f>F39*(1-G39)</f>
        <v/>
      </c>
      <c r="J39" s="3">
        <f>I39*H39*E39</f>
        <v/>
      </c>
      <c r="K39" s="3">
        <f>I39*E39+J39</f>
        <v/>
      </c>
    </row>
    <row r="40">
      <c r="A40" t="inlineStr">
        <is>
          <t>O-2039</t>
        </is>
      </c>
      <c r="B40" s="4" t="n">
        <v>45903</v>
      </c>
      <c r="C40" t="inlineStr">
        <is>
          <t>North</t>
        </is>
      </c>
      <c r="D40" t="inlineStr">
        <is>
          <t>P004</t>
        </is>
      </c>
      <c r="E40" t="n">
        <v>9</v>
      </c>
      <c r="F40" s="3">
        <f>VLOOKUP(D40,Products!$A$2:$D$16,3,FALSE)</f>
        <v/>
      </c>
      <c r="G40" s="2">
        <f>VLOOKUP(C40,Regions!$A$2:$C$5,3,FALSE)</f>
        <v/>
      </c>
      <c r="H40" s="2">
        <f>VLOOKUP(C40,Regions!$A$2:$C$5,2,FALSE)</f>
        <v/>
      </c>
      <c r="I40" s="3">
        <f>F40*(1-G40)</f>
        <v/>
      </c>
      <c r="J40" s="3">
        <f>I40*H40*E40</f>
        <v/>
      </c>
      <c r="K40" s="3">
        <f>I40*E40+J40</f>
        <v/>
      </c>
    </row>
    <row r="41">
      <c r="A41" t="inlineStr">
        <is>
          <t>O-2040</t>
        </is>
      </c>
      <c r="B41" s="4" t="n">
        <v>45697</v>
      </c>
      <c r="C41" t="inlineStr">
        <is>
          <t>East</t>
        </is>
      </c>
      <c r="D41" t="inlineStr">
        <is>
          <t>P009</t>
        </is>
      </c>
      <c r="E41" t="n">
        <v>9</v>
      </c>
      <c r="F41" s="3">
        <f>VLOOKUP(D41,Products!$A$2:$D$16,3,FALSE)</f>
        <v/>
      </c>
      <c r="G41" s="2">
        <f>VLOOKUP(C41,Regions!$A$2:$C$5,3,FALSE)</f>
        <v/>
      </c>
      <c r="H41" s="2">
        <f>VLOOKUP(C41,Regions!$A$2:$C$5,2,FALSE)</f>
        <v/>
      </c>
      <c r="I41" s="3">
        <f>F41*(1-G41)</f>
        <v/>
      </c>
      <c r="J41" s="3">
        <f>I41*H41*E41</f>
        <v/>
      </c>
      <c r="K41" s="3">
        <f>I41*E41+J41</f>
        <v/>
      </c>
    </row>
    <row r="42">
      <c r="A42" t="inlineStr">
        <is>
          <t>O-2041</t>
        </is>
      </c>
      <c r="B42" s="4" t="n">
        <v>45743</v>
      </c>
      <c r="C42" t="inlineStr">
        <is>
          <t>East</t>
        </is>
      </c>
      <c r="D42" t="inlineStr">
        <is>
          <t>P006</t>
        </is>
      </c>
      <c r="E42" t="n">
        <v>9</v>
      </c>
      <c r="F42" s="3">
        <f>VLOOKUP(D42,Products!$A$2:$D$16,3,FALSE)</f>
        <v/>
      </c>
      <c r="G42" s="2">
        <f>VLOOKUP(C42,Regions!$A$2:$C$5,3,FALSE)</f>
        <v/>
      </c>
      <c r="H42" s="2">
        <f>VLOOKUP(C42,Regions!$A$2:$C$5,2,FALSE)</f>
        <v/>
      </c>
      <c r="I42" s="3">
        <f>F42*(1-G42)</f>
        <v/>
      </c>
      <c r="J42" s="3">
        <f>I42*H42*E42</f>
        <v/>
      </c>
      <c r="K42" s="3">
        <f>I42*E42+J42</f>
        <v/>
      </c>
    </row>
    <row r="43">
      <c r="A43" t="inlineStr">
        <is>
          <t>O-2042</t>
        </is>
      </c>
      <c r="B43" s="4" t="n">
        <v>45897</v>
      </c>
      <c r="C43" t="inlineStr">
        <is>
          <t>South</t>
        </is>
      </c>
      <c r="D43" t="inlineStr">
        <is>
          <t>P001</t>
        </is>
      </c>
      <c r="E43" t="n">
        <v>7</v>
      </c>
      <c r="F43" s="3">
        <f>VLOOKUP(D43,Products!$A$2:$D$16,3,FALSE)</f>
        <v/>
      </c>
      <c r="G43" s="2">
        <f>VLOOKUP(C43,Regions!$A$2:$C$5,3,FALSE)</f>
        <v/>
      </c>
      <c r="H43" s="2">
        <f>VLOOKUP(C43,Regions!$A$2:$C$5,2,FALSE)</f>
        <v/>
      </c>
      <c r="I43" s="3">
        <f>F43*(1-G43)</f>
        <v/>
      </c>
      <c r="J43" s="3">
        <f>I43*H43*E43</f>
        <v/>
      </c>
      <c r="K43" s="3">
        <f>I43*E43+J43</f>
        <v/>
      </c>
    </row>
    <row r="44">
      <c r="A44" t="inlineStr">
        <is>
          <t>O-2043</t>
        </is>
      </c>
      <c r="B44" s="4" t="n">
        <v>46012</v>
      </c>
      <c r="C44" t="inlineStr">
        <is>
          <t>South</t>
        </is>
      </c>
      <c r="D44" t="inlineStr">
        <is>
          <t>P003</t>
        </is>
      </c>
      <c r="E44" t="n">
        <v>4</v>
      </c>
      <c r="F44" s="3">
        <f>VLOOKUP(D44,Products!$A$2:$D$16,3,FALSE)</f>
        <v/>
      </c>
      <c r="G44" s="2">
        <f>VLOOKUP(C44,Regions!$A$2:$C$5,3,FALSE)</f>
        <v/>
      </c>
      <c r="H44" s="2">
        <f>VLOOKUP(C44,Regions!$A$2:$C$5,2,FALSE)</f>
        <v/>
      </c>
      <c r="I44" s="3">
        <f>F44*(1-G44)</f>
        <v/>
      </c>
      <c r="J44" s="3">
        <f>I44*H44*E44</f>
        <v/>
      </c>
      <c r="K44" s="3">
        <f>I44*E44+J44</f>
        <v/>
      </c>
    </row>
    <row r="45">
      <c r="A45" t="inlineStr">
        <is>
          <t>O-2044</t>
        </is>
      </c>
      <c r="B45" s="4" t="n">
        <v>45945</v>
      </c>
      <c r="C45" t="inlineStr">
        <is>
          <t>North</t>
        </is>
      </c>
      <c r="D45" t="inlineStr">
        <is>
          <t>P009</t>
        </is>
      </c>
      <c r="E45" t="n">
        <v>3</v>
      </c>
      <c r="F45" s="3">
        <f>VLOOKUP(D45,Products!$A$2:$D$16,3,FALSE)</f>
        <v/>
      </c>
      <c r="G45" s="2">
        <f>VLOOKUP(C45,Regions!$A$2:$C$5,3,FALSE)</f>
        <v/>
      </c>
      <c r="H45" s="2">
        <f>VLOOKUP(C45,Regions!$A$2:$C$5,2,FALSE)</f>
        <v/>
      </c>
      <c r="I45" s="3">
        <f>F45*(1-G45)</f>
        <v/>
      </c>
      <c r="J45" s="3">
        <f>I45*H45*E45</f>
        <v/>
      </c>
      <c r="K45" s="3">
        <f>I45*E45+J45</f>
        <v/>
      </c>
    </row>
    <row r="46">
      <c r="A46" t="inlineStr">
        <is>
          <t>O-2045</t>
        </is>
      </c>
      <c r="B46" s="4" t="n">
        <v>45979</v>
      </c>
      <c r="C46" t="inlineStr">
        <is>
          <t>North</t>
        </is>
      </c>
      <c r="D46" t="inlineStr">
        <is>
          <t>P007</t>
        </is>
      </c>
      <c r="E46" t="n">
        <v>12</v>
      </c>
      <c r="F46" s="3">
        <f>VLOOKUP(D46,Products!$A$2:$D$16,3,FALSE)</f>
        <v/>
      </c>
      <c r="G46" s="2">
        <f>VLOOKUP(C46,Regions!$A$2:$C$5,3,FALSE)</f>
        <v/>
      </c>
      <c r="H46" s="2">
        <f>VLOOKUP(C46,Regions!$A$2:$C$5,2,FALSE)</f>
        <v/>
      </c>
      <c r="I46" s="3">
        <f>F46*(1-G46)</f>
        <v/>
      </c>
      <c r="J46" s="3">
        <f>I46*H46*E46</f>
        <v/>
      </c>
      <c r="K46" s="3">
        <f>I46*E46+J46</f>
        <v/>
      </c>
    </row>
    <row r="47">
      <c r="A47" t="inlineStr">
        <is>
          <t>O-2046</t>
        </is>
      </c>
      <c r="B47" s="4" t="n">
        <v>45875</v>
      </c>
      <c r="C47" t="inlineStr">
        <is>
          <t>North</t>
        </is>
      </c>
      <c r="D47" t="inlineStr">
        <is>
          <t>P012</t>
        </is>
      </c>
      <c r="E47" t="n">
        <v>6</v>
      </c>
      <c r="F47" s="3">
        <f>VLOOKUP(D47,Products!$A$2:$D$16,3,FALSE)</f>
        <v/>
      </c>
      <c r="G47" s="2">
        <f>VLOOKUP(C47,Regions!$A$2:$C$5,3,FALSE)</f>
        <v/>
      </c>
      <c r="H47" s="2">
        <f>VLOOKUP(C47,Regions!$A$2:$C$5,2,FALSE)</f>
        <v/>
      </c>
      <c r="I47" s="3">
        <f>F47*(1-G47)</f>
        <v/>
      </c>
      <c r="J47" s="3">
        <f>I47*H47*E47</f>
        <v/>
      </c>
      <c r="K47" s="3">
        <f>I47*E47+J47</f>
        <v/>
      </c>
    </row>
    <row r="48">
      <c r="A48" t="inlineStr">
        <is>
          <t>O-2047</t>
        </is>
      </c>
      <c r="B48" s="4" t="n">
        <v>45659</v>
      </c>
      <c r="C48" t="inlineStr">
        <is>
          <t>East</t>
        </is>
      </c>
      <c r="D48" t="inlineStr">
        <is>
          <t>P014</t>
        </is>
      </c>
      <c r="E48" t="n">
        <v>6</v>
      </c>
      <c r="F48" s="3">
        <f>VLOOKUP(D48,Products!$A$2:$D$16,3,FALSE)</f>
        <v/>
      </c>
      <c r="G48" s="2">
        <f>VLOOKUP(C48,Regions!$A$2:$C$5,3,FALSE)</f>
        <v/>
      </c>
      <c r="H48" s="2">
        <f>VLOOKUP(C48,Regions!$A$2:$C$5,2,FALSE)</f>
        <v/>
      </c>
      <c r="I48" s="3">
        <f>F48*(1-G48)</f>
        <v/>
      </c>
      <c r="J48" s="3">
        <f>I48*H48*E48</f>
        <v/>
      </c>
      <c r="K48" s="3">
        <f>I48*E48+J48</f>
        <v/>
      </c>
    </row>
    <row r="49">
      <c r="A49" t="inlineStr">
        <is>
          <t>O-2048</t>
        </is>
      </c>
      <c r="B49" s="4" t="n">
        <v>45984</v>
      </c>
      <c r="C49" t="inlineStr">
        <is>
          <t>North</t>
        </is>
      </c>
      <c r="D49" t="inlineStr">
        <is>
          <t>P013</t>
        </is>
      </c>
      <c r="E49" t="n">
        <v>1</v>
      </c>
      <c r="F49" s="3">
        <f>VLOOKUP(D49,Products!$A$2:$D$16,3,FALSE)</f>
        <v/>
      </c>
      <c r="G49" s="2">
        <f>VLOOKUP(C49,Regions!$A$2:$C$5,3,FALSE)</f>
        <v/>
      </c>
      <c r="H49" s="2">
        <f>VLOOKUP(C49,Regions!$A$2:$C$5,2,FALSE)</f>
        <v/>
      </c>
      <c r="I49" s="3">
        <f>F49*(1-G49)</f>
        <v/>
      </c>
      <c r="J49" s="3">
        <f>I49*H49*E49</f>
        <v/>
      </c>
      <c r="K49" s="3">
        <f>I49*E49+J49</f>
        <v/>
      </c>
    </row>
    <row r="50">
      <c r="A50" t="inlineStr">
        <is>
          <t>O-2049</t>
        </is>
      </c>
      <c r="B50" s="4" t="n">
        <v>45660</v>
      </c>
      <c r="C50" t="inlineStr">
        <is>
          <t>North</t>
        </is>
      </c>
      <c r="D50" t="inlineStr">
        <is>
          <t>P014</t>
        </is>
      </c>
      <c r="E50" t="n">
        <v>12</v>
      </c>
      <c r="F50" s="3">
        <f>VLOOKUP(D50,Products!$A$2:$D$16,3,FALSE)</f>
        <v/>
      </c>
      <c r="G50" s="2">
        <f>VLOOKUP(C50,Regions!$A$2:$C$5,3,FALSE)</f>
        <v/>
      </c>
      <c r="H50" s="2">
        <f>VLOOKUP(C50,Regions!$A$2:$C$5,2,FALSE)</f>
        <v/>
      </c>
      <c r="I50" s="3">
        <f>F50*(1-G50)</f>
        <v/>
      </c>
      <c r="J50" s="3">
        <f>I50*H50*E50</f>
        <v/>
      </c>
      <c r="K50" s="3">
        <f>I50*E50+J50</f>
        <v/>
      </c>
    </row>
    <row r="51">
      <c r="A51" t="inlineStr">
        <is>
          <t>O-2050</t>
        </is>
      </c>
      <c r="B51" s="4" t="n">
        <v>45980</v>
      </c>
      <c r="C51" t="inlineStr">
        <is>
          <t>East</t>
        </is>
      </c>
      <c r="D51" t="inlineStr">
        <is>
          <t>P003</t>
        </is>
      </c>
      <c r="E51" t="n">
        <v>12</v>
      </c>
      <c r="F51" s="3">
        <f>VLOOKUP(D51,Products!$A$2:$D$16,3,FALSE)</f>
        <v/>
      </c>
      <c r="G51" s="2">
        <f>VLOOKUP(C51,Regions!$A$2:$C$5,3,FALSE)</f>
        <v/>
      </c>
      <c r="H51" s="2">
        <f>VLOOKUP(C51,Regions!$A$2:$C$5,2,FALSE)</f>
        <v/>
      </c>
      <c r="I51" s="3">
        <f>F51*(1-G51)</f>
        <v/>
      </c>
      <c r="J51" s="3">
        <f>I51*H51*E51</f>
        <v/>
      </c>
      <c r="K51" s="3">
        <f>I51*E51+J51</f>
        <v/>
      </c>
    </row>
    <row r="52">
      <c r="A52" t="inlineStr">
        <is>
          <t>O-2051</t>
        </is>
      </c>
      <c r="B52" s="4" t="n">
        <v>45763</v>
      </c>
      <c r="C52" t="inlineStr">
        <is>
          <t>North</t>
        </is>
      </c>
      <c r="D52" t="inlineStr">
        <is>
          <t>P002</t>
        </is>
      </c>
      <c r="E52" t="n">
        <v>12</v>
      </c>
      <c r="F52" s="3">
        <f>VLOOKUP(D52,Products!$A$2:$D$16,3,FALSE)</f>
        <v/>
      </c>
      <c r="G52" s="2">
        <f>VLOOKUP(C52,Regions!$A$2:$C$5,3,FALSE)</f>
        <v/>
      </c>
      <c r="H52" s="2">
        <f>VLOOKUP(C52,Regions!$A$2:$C$5,2,FALSE)</f>
        <v/>
      </c>
      <c r="I52" s="3">
        <f>F52*(1-G52)</f>
        <v/>
      </c>
      <c r="J52" s="3">
        <f>I52*H52*E52</f>
        <v/>
      </c>
      <c r="K52" s="3">
        <f>I52*E52+J52</f>
        <v/>
      </c>
    </row>
    <row r="53">
      <c r="A53" t="inlineStr">
        <is>
          <t>O-2052</t>
        </is>
      </c>
      <c r="B53" s="4" t="n">
        <v>45973</v>
      </c>
      <c r="C53" t="inlineStr">
        <is>
          <t>North</t>
        </is>
      </c>
      <c r="D53" t="inlineStr">
        <is>
          <t>P008</t>
        </is>
      </c>
      <c r="E53" t="n">
        <v>9</v>
      </c>
      <c r="F53" s="3">
        <f>VLOOKUP(D53,Products!$A$2:$D$16,3,FALSE)</f>
        <v/>
      </c>
      <c r="G53" s="2">
        <f>VLOOKUP(C53,Regions!$A$2:$C$5,3,FALSE)</f>
        <v/>
      </c>
      <c r="H53" s="2">
        <f>VLOOKUP(C53,Regions!$A$2:$C$5,2,FALSE)</f>
        <v/>
      </c>
      <c r="I53" s="3">
        <f>F53*(1-G53)</f>
        <v/>
      </c>
      <c r="J53" s="3">
        <f>I53*H53*E53</f>
        <v/>
      </c>
      <c r="K53" s="3">
        <f>I53*E53+J53</f>
        <v/>
      </c>
    </row>
    <row r="54">
      <c r="A54" t="inlineStr">
        <is>
          <t>O-2053</t>
        </is>
      </c>
      <c r="B54" s="4" t="n">
        <v>46011</v>
      </c>
      <c r="C54" t="inlineStr">
        <is>
          <t>North</t>
        </is>
      </c>
      <c r="D54" t="inlineStr">
        <is>
          <t>P013</t>
        </is>
      </c>
      <c r="E54" t="n">
        <v>11</v>
      </c>
      <c r="F54" s="3">
        <f>VLOOKUP(D54,Products!$A$2:$D$16,3,FALSE)</f>
        <v/>
      </c>
      <c r="G54" s="2">
        <f>VLOOKUP(C54,Regions!$A$2:$C$5,3,FALSE)</f>
        <v/>
      </c>
      <c r="H54" s="2">
        <f>VLOOKUP(C54,Regions!$A$2:$C$5,2,FALSE)</f>
        <v/>
      </c>
      <c r="I54" s="3">
        <f>F54*(1-G54)</f>
        <v/>
      </c>
      <c r="J54" s="3">
        <f>I54*H54*E54</f>
        <v/>
      </c>
      <c r="K54" s="3">
        <f>I54*E54+J54</f>
        <v/>
      </c>
    </row>
    <row r="55">
      <c r="A55" t="inlineStr">
        <is>
          <t>O-2054</t>
        </is>
      </c>
      <c r="B55" s="4" t="n">
        <v>45819</v>
      </c>
      <c r="C55" t="inlineStr">
        <is>
          <t>North</t>
        </is>
      </c>
      <c r="D55" t="inlineStr">
        <is>
          <t>P012</t>
        </is>
      </c>
      <c r="E55" t="n">
        <v>3</v>
      </c>
      <c r="F55" s="3">
        <f>VLOOKUP(D55,Products!$A$2:$D$16,3,FALSE)</f>
        <v/>
      </c>
      <c r="G55" s="2">
        <f>VLOOKUP(C55,Regions!$A$2:$C$5,3,FALSE)</f>
        <v/>
      </c>
      <c r="H55" s="2">
        <f>VLOOKUP(C55,Regions!$A$2:$C$5,2,FALSE)</f>
        <v/>
      </c>
      <c r="I55" s="3">
        <f>F55*(1-G55)</f>
        <v/>
      </c>
      <c r="J55" s="3">
        <f>I55*H55*E55</f>
        <v/>
      </c>
      <c r="K55" s="3">
        <f>I55*E55+J55</f>
        <v/>
      </c>
    </row>
    <row r="56">
      <c r="A56" t="inlineStr">
        <is>
          <t>O-2055</t>
        </is>
      </c>
      <c r="B56" s="4" t="n">
        <v>45921</v>
      </c>
      <c r="C56" t="inlineStr">
        <is>
          <t>West</t>
        </is>
      </c>
      <c r="D56" t="inlineStr">
        <is>
          <t>P011</t>
        </is>
      </c>
      <c r="E56" t="n">
        <v>2</v>
      </c>
      <c r="F56" s="3">
        <f>VLOOKUP(D56,Products!$A$2:$D$16,3,FALSE)</f>
        <v/>
      </c>
      <c r="G56" s="2">
        <f>VLOOKUP(C56,Regions!$A$2:$C$5,3,FALSE)</f>
        <v/>
      </c>
      <c r="H56" s="2">
        <f>VLOOKUP(C56,Regions!$A$2:$C$5,2,FALSE)</f>
        <v/>
      </c>
      <c r="I56" s="3">
        <f>F56*(1-G56)</f>
        <v/>
      </c>
      <c r="J56" s="3">
        <f>I56*H56*E56</f>
        <v/>
      </c>
      <c r="K56" s="3">
        <f>I56*E56+J56</f>
        <v/>
      </c>
    </row>
    <row r="57">
      <c r="A57" t="inlineStr">
        <is>
          <t>O-2056</t>
        </is>
      </c>
      <c r="B57" s="4" t="n">
        <v>45783</v>
      </c>
      <c r="C57" t="inlineStr">
        <is>
          <t>East</t>
        </is>
      </c>
      <c r="D57" t="inlineStr">
        <is>
          <t>P013</t>
        </is>
      </c>
      <c r="E57" t="n">
        <v>5</v>
      </c>
      <c r="F57" s="3">
        <f>VLOOKUP(D57,Products!$A$2:$D$16,3,FALSE)</f>
        <v/>
      </c>
      <c r="G57" s="2">
        <f>VLOOKUP(C57,Regions!$A$2:$C$5,3,FALSE)</f>
        <v/>
      </c>
      <c r="H57" s="2">
        <f>VLOOKUP(C57,Regions!$A$2:$C$5,2,FALSE)</f>
        <v/>
      </c>
      <c r="I57" s="3">
        <f>F57*(1-G57)</f>
        <v/>
      </c>
      <c r="J57" s="3">
        <f>I57*H57*E57</f>
        <v/>
      </c>
      <c r="K57" s="3">
        <f>I57*E57+J57</f>
        <v/>
      </c>
    </row>
    <row r="58">
      <c r="A58" t="inlineStr">
        <is>
          <t>O-2057</t>
        </is>
      </c>
      <c r="B58" s="4" t="n">
        <v>45952</v>
      </c>
      <c r="C58" t="inlineStr">
        <is>
          <t>North</t>
        </is>
      </c>
      <c r="D58" t="inlineStr">
        <is>
          <t>P009</t>
        </is>
      </c>
      <c r="E58" t="n">
        <v>3</v>
      </c>
      <c r="F58" s="3">
        <f>VLOOKUP(D58,Products!$A$2:$D$16,3,FALSE)</f>
        <v/>
      </c>
      <c r="G58" s="2">
        <f>VLOOKUP(C58,Regions!$A$2:$C$5,3,FALSE)</f>
        <v/>
      </c>
      <c r="H58" s="2">
        <f>VLOOKUP(C58,Regions!$A$2:$C$5,2,FALSE)</f>
        <v/>
      </c>
      <c r="I58" s="3">
        <f>F58*(1-G58)</f>
        <v/>
      </c>
      <c r="J58" s="3">
        <f>I58*H58*E58</f>
        <v/>
      </c>
      <c r="K58" s="3">
        <f>I58*E58+J58</f>
        <v/>
      </c>
    </row>
    <row r="59">
      <c r="A59" t="inlineStr">
        <is>
          <t>O-2058</t>
        </is>
      </c>
      <c r="B59" s="4" t="n">
        <v>45925</v>
      </c>
      <c r="C59" t="inlineStr">
        <is>
          <t>West</t>
        </is>
      </c>
      <c r="D59" t="inlineStr">
        <is>
          <t>P005</t>
        </is>
      </c>
      <c r="E59" t="n">
        <v>8</v>
      </c>
      <c r="F59" s="3">
        <f>VLOOKUP(D59,Products!$A$2:$D$16,3,FALSE)</f>
        <v/>
      </c>
      <c r="G59" s="2">
        <f>VLOOKUP(C59,Regions!$A$2:$C$5,3,FALSE)</f>
        <v/>
      </c>
      <c r="H59" s="2">
        <f>VLOOKUP(C59,Regions!$A$2:$C$5,2,FALSE)</f>
        <v/>
      </c>
      <c r="I59" s="3">
        <f>F59*(1-G59)</f>
        <v/>
      </c>
      <c r="J59" s="3">
        <f>I59*H59*E59</f>
        <v/>
      </c>
      <c r="K59" s="3">
        <f>I59*E59+J59</f>
        <v/>
      </c>
    </row>
    <row r="60">
      <c r="A60" t="inlineStr">
        <is>
          <t>O-2059</t>
        </is>
      </c>
      <c r="B60" s="4" t="n">
        <v>45794</v>
      </c>
      <c r="C60" t="inlineStr">
        <is>
          <t>North</t>
        </is>
      </c>
      <c r="D60" t="inlineStr">
        <is>
          <t>P003</t>
        </is>
      </c>
      <c r="E60" t="n">
        <v>3</v>
      </c>
      <c r="F60" s="3">
        <f>VLOOKUP(D60,Products!$A$2:$D$16,3,FALSE)</f>
        <v/>
      </c>
      <c r="G60" s="2">
        <f>VLOOKUP(C60,Regions!$A$2:$C$5,3,FALSE)</f>
        <v/>
      </c>
      <c r="H60" s="2">
        <f>VLOOKUP(C60,Regions!$A$2:$C$5,2,FALSE)</f>
        <v/>
      </c>
      <c r="I60" s="3">
        <f>F60*(1-G60)</f>
        <v/>
      </c>
      <c r="J60" s="3">
        <f>I60*H60*E60</f>
        <v/>
      </c>
      <c r="K60" s="3">
        <f>I60*E60+J60</f>
        <v/>
      </c>
    </row>
    <row r="61">
      <c r="A61" t="inlineStr">
        <is>
          <t>O-2060</t>
        </is>
      </c>
      <c r="B61" s="4" t="n">
        <v>45871</v>
      </c>
      <c r="C61" t="inlineStr">
        <is>
          <t>North</t>
        </is>
      </c>
      <c r="D61" t="inlineStr">
        <is>
          <t>P006</t>
        </is>
      </c>
      <c r="E61" t="n">
        <v>7</v>
      </c>
      <c r="F61" s="3">
        <f>VLOOKUP(D61,Products!$A$2:$D$16,3,FALSE)</f>
        <v/>
      </c>
      <c r="G61" s="2">
        <f>VLOOKUP(C61,Regions!$A$2:$C$5,3,FALSE)</f>
        <v/>
      </c>
      <c r="H61" s="2">
        <f>VLOOKUP(C61,Regions!$A$2:$C$5,2,FALSE)</f>
        <v/>
      </c>
      <c r="I61" s="3">
        <f>F61*(1-G61)</f>
        <v/>
      </c>
      <c r="J61" s="3">
        <f>I61*H61*E61</f>
        <v/>
      </c>
      <c r="K61" s="3">
        <f>I61*E61+J61</f>
        <v/>
      </c>
    </row>
    <row r="62">
      <c r="A62" t="inlineStr">
        <is>
          <t>O-2061</t>
        </is>
      </c>
      <c r="B62" s="4" t="n">
        <v>45677</v>
      </c>
      <c r="C62" t="inlineStr">
        <is>
          <t>West</t>
        </is>
      </c>
      <c r="D62" t="inlineStr">
        <is>
          <t>P008</t>
        </is>
      </c>
      <c r="E62" t="n">
        <v>1</v>
      </c>
      <c r="F62" s="3">
        <f>VLOOKUP(D62,Products!$A$2:$D$16,3,FALSE)</f>
        <v/>
      </c>
      <c r="G62" s="2">
        <f>VLOOKUP(C62,Regions!$A$2:$C$5,3,FALSE)</f>
        <v/>
      </c>
      <c r="H62" s="2">
        <f>VLOOKUP(C62,Regions!$A$2:$C$5,2,FALSE)</f>
        <v/>
      </c>
      <c r="I62" s="3">
        <f>F62*(1-G62)</f>
        <v/>
      </c>
      <c r="J62" s="3">
        <f>I62*H62*E62</f>
        <v/>
      </c>
      <c r="K62" s="3">
        <f>I62*E62+J62</f>
        <v/>
      </c>
    </row>
    <row r="63">
      <c r="A63" t="inlineStr">
        <is>
          <t>O-2062</t>
        </is>
      </c>
      <c r="B63" s="4" t="n">
        <v>45785</v>
      </c>
      <c r="C63" t="inlineStr">
        <is>
          <t>North</t>
        </is>
      </c>
      <c r="D63" t="inlineStr">
        <is>
          <t>P001</t>
        </is>
      </c>
      <c r="E63" t="n">
        <v>11</v>
      </c>
      <c r="F63" s="3">
        <f>VLOOKUP(D63,Products!$A$2:$D$16,3,FALSE)</f>
        <v/>
      </c>
      <c r="G63" s="2">
        <f>VLOOKUP(C63,Regions!$A$2:$C$5,3,FALSE)</f>
        <v/>
      </c>
      <c r="H63" s="2">
        <f>VLOOKUP(C63,Regions!$A$2:$C$5,2,FALSE)</f>
        <v/>
      </c>
      <c r="I63" s="3">
        <f>F63*(1-G63)</f>
        <v/>
      </c>
      <c r="J63" s="3">
        <f>I63*H63*E63</f>
        <v/>
      </c>
      <c r="K63" s="3">
        <f>I63*E63+J63</f>
        <v/>
      </c>
    </row>
    <row r="64">
      <c r="A64" t="inlineStr">
        <is>
          <t>O-2063</t>
        </is>
      </c>
      <c r="B64" s="4" t="n">
        <v>45811</v>
      </c>
      <c r="C64" t="inlineStr">
        <is>
          <t>West</t>
        </is>
      </c>
      <c r="D64" t="inlineStr">
        <is>
          <t>P006</t>
        </is>
      </c>
      <c r="E64" t="n">
        <v>11</v>
      </c>
      <c r="F64" s="3">
        <f>VLOOKUP(D64,Products!$A$2:$D$16,3,FALSE)</f>
        <v/>
      </c>
      <c r="G64" s="2">
        <f>VLOOKUP(C64,Regions!$A$2:$C$5,3,FALSE)</f>
        <v/>
      </c>
      <c r="H64" s="2">
        <f>VLOOKUP(C64,Regions!$A$2:$C$5,2,FALSE)</f>
        <v/>
      </c>
      <c r="I64" s="3">
        <f>F64*(1-G64)</f>
        <v/>
      </c>
      <c r="J64" s="3">
        <f>I64*H64*E64</f>
        <v/>
      </c>
      <c r="K64" s="3">
        <f>I64*E64+J64</f>
        <v/>
      </c>
    </row>
    <row r="65">
      <c r="A65" t="inlineStr">
        <is>
          <t>O-2064</t>
        </is>
      </c>
      <c r="B65" s="4" t="n">
        <v>45794</v>
      </c>
      <c r="C65" t="inlineStr">
        <is>
          <t>East</t>
        </is>
      </c>
      <c r="D65" t="inlineStr">
        <is>
          <t>P012</t>
        </is>
      </c>
      <c r="E65" t="n">
        <v>9</v>
      </c>
      <c r="F65" s="3">
        <f>VLOOKUP(D65,Products!$A$2:$D$16,3,FALSE)</f>
        <v/>
      </c>
      <c r="G65" s="2">
        <f>VLOOKUP(C65,Regions!$A$2:$C$5,3,FALSE)</f>
        <v/>
      </c>
      <c r="H65" s="2">
        <f>VLOOKUP(C65,Regions!$A$2:$C$5,2,FALSE)</f>
        <v/>
      </c>
      <c r="I65" s="3">
        <f>F65*(1-G65)</f>
        <v/>
      </c>
      <c r="J65" s="3">
        <f>I65*H65*E65</f>
        <v/>
      </c>
      <c r="K65" s="3">
        <f>I65*E65+J65</f>
        <v/>
      </c>
    </row>
    <row r="66">
      <c r="A66" t="inlineStr">
        <is>
          <t>O-2065</t>
        </is>
      </c>
      <c r="B66" s="4" t="n">
        <v>45934</v>
      </c>
      <c r="C66" t="inlineStr">
        <is>
          <t>South</t>
        </is>
      </c>
      <c r="D66" t="inlineStr">
        <is>
          <t>P007</t>
        </is>
      </c>
      <c r="E66" t="n">
        <v>7</v>
      </c>
      <c r="F66" s="3">
        <f>VLOOKUP(D66,Products!$A$2:$D$16,3,FALSE)</f>
        <v/>
      </c>
      <c r="G66" s="2">
        <f>VLOOKUP(C66,Regions!$A$2:$C$5,3,FALSE)</f>
        <v/>
      </c>
      <c r="H66" s="2">
        <f>VLOOKUP(C66,Regions!$A$2:$C$5,2,FALSE)</f>
        <v/>
      </c>
      <c r="I66" s="3">
        <f>F66*(1-G66)</f>
        <v/>
      </c>
      <c r="J66" s="3">
        <f>I66*H66*E66</f>
        <v/>
      </c>
      <c r="K66" s="3">
        <f>I66*E66+J66</f>
        <v/>
      </c>
    </row>
    <row r="67">
      <c r="A67" t="inlineStr">
        <is>
          <t>O-2066</t>
        </is>
      </c>
      <c r="B67" s="4" t="n">
        <v>45794</v>
      </c>
      <c r="C67" t="inlineStr">
        <is>
          <t>South</t>
        </is>
      </c>
      <c r="D67" t="inlineStr">
        <is>
          <t>P007</t>
        </is>
      </c>
      <c r="E67" t="n">
        <v>3</v>
      </c>
      <c r="F67" s="3">
        <f>VLOOKUP(D67,Products!$A$2:$D$16,3,FALSE)</f>
        <v/>
      </c>
      <c r="G67" s="2">
        <f>VLOOKUP(C67,Regions!$A$2:$C$5,3,FALSE)</f>
        <v/>
      </c>
      <c r="H67" s="2">
        <f>VLOOKUP(C67,Regions!$A$2:$C$5,2,FALSE)</f>
        <v/>
      </c>
      <c r="I67" s="3">
        <f>F67*(1-G67)</f>
        <v/>
      </c>
      <c r="J67" s="3">
        <f>I67*H67*E67</f>
        <v/>
      </c>
      <c r="K67" s="3">
        <f>I67*E67+J67</f>
        <v/>
      </c>
    </row>
    <row r="68">
      <c r="A68" t="inlineStr">
        <is>
          <t>O-2067</t>
        </is>
      </c>
      <c r="B68" s="4" t="n">
        <v>45963</v>
      </c>
      <c r="C68" t="inlineStr">
        <is>
          <t>South</t>
        </is>
      </c>
      <c r="D68" t="inlineStr">
        <is>
          <t>P006</t>
        </is>
      </c>
      <c r="E68" t="n">
        <v>6</v>
      </c>
      <c r="F68" s="3">
        <f>VLOOKUP(D68,Products!$A$2:$D$16,3,FALSE)</f>
        <v/>
      </c>
      <c r="G68" s="2">
        <f>VLOOKUP(C68,Regions!$A$2:$C$5,3,FALSE)</f>
        <v/>
      </c>
      <c r="H68" s="2">
        <f>VLOOKUP(C68,Regions!$A$2:$C$5,2,FALSE)</f>
        <v/>
      </c>
      <c r="I68" s="3">
        <f>F68*(1-G68)</f>
        <v/>
      </c>
      <c r="J68" s="3">
        <f>I68*H68*E68</f>
        <v/>
      </c>
      <c r="K68" s="3">
        <f>I68*E68+J68</f>
        <v/>
      </c>
    </row>
    <row r="69">
      <c r="A69" t="inlineStr">
        <is>
          <t>O-2068</t>
        </is>
      </c>
      <c r="B69" s="4" t="n">
        <v>45943</v>
      </c>
      <c r="C69" t="inlineStr">
        <is>
          <t>East</t>
        </is>
      </c>
      <c r="D69" t="inlineStr">
        <is>
          <t>P005</t>
        </is>
      </c>
      <c r="E69" t="n">
        <v>3</v>
      </c>
      <c r="F69" s="3">
        <f>VLOOKUP(D69,Products!$A$2:$D$16,3,FALSE)</f>
        <v/>
      </c>
      <c r="G69" s="2">
        <f>VLOOKUP(C69,Regions!$A$2:$C$5,3,FALSE)</f>
        <v/>
      </c>
      <c r="H69" s="2">
        <f>VLOOKUP(C69,Regions!$A$2:$C$5,2,FALSE)</f>
        <v/>
      </c>
      <c r="I69" s="3">
        <f>F69*(1-G69)</f>
        <v/>
      </c>
      <c r="J69" s="3">
        <f>I69*H69*E69</f>
        <v/>
      </c>
      <c r="K69" s="3">
        <f>I69*E69+J69</f>
        <v/>
      </c>
    </row>
    <row r="70">
      <c r="A70" t="inlineStr">
        <is>
          <t>O-2069</t>
        </is>
      </c>
      <c r="B70" s="4" t="n">
        <v>45678</v>
      </c>
      <c r="C70" t="inlineStr">
        <is>
          <t>North</t>
        </is>
      </c>
      <c r="D70" t="inlineStr">
        <is>
          <t>P009</t>
        </is>
      </c>
      <c r="E70" t="n">
        <v>12</v>
      </c>
      <c r="F70" s="3">
        <f>VLOOKUP(D70,Products!$A$2:$D$16,3,FALSE)</f>
        <v/>
      </c>
      <c r="G70" s="2">
        <f>VLOOKUP(C70,Regions!$A$2:$C$5,3,FALSE)</f>
        <v/>
      </c>
      <c r="H70" s="2">
        <f>VLOOKUP(C70,Regions!$A$2:$C$5,2,FALSE)</f>
        <v/>
      </c>
      <c r="I70" s="3">
        <f>F70*(1-G70)</f>
        <v/>
      </c>
      <c r="J70" s="3">
        <f>I70*H70*E70</f>
        <v/>
      </c>
      <c r="K70" s="3">
        <f>I70*E70+J70</f>
        <v/>
      </c>
    </row>
    <row r="71">
      <c r="A71" t="inlineStr">
        <is>
          <t>O-2070</t>
        </is>
      </c>
      <c r="B71" s="4" t="n">
        <v>45755</v>
      </c>
      <c r="C71" t="inlineStr">
        <is>
          <t>West</t>
        </is>
      </c>
      <c r="D71" t="inlineStr">
        <is>
          <t>P001</t>
        </is>
      </c>
      <c r="E71" t="n">
        <v>7</v>
      </c>
      <c r="F71" s="3">
        <f>VLOOKUP(D71,Products!$A$2:$D$16,3,FALSE)</f>
        <v/>
      </c>
      <c r="G71" s="2">
        <f>VLOOKUP(C71,Regions!$A$2:$C$5,3,FALSE)</f>
        <v/>
      </c>
      <c r="H71" s="2">
        <f>VLOOKUP(C71,Regions!$A$2:$C$5,2,FALSE)</f>
        <v/>
      </c>
      <c r="I71" s="3">
        <f>F71*(1-G71)</f>
        <v/>
      </c>
      <c r="J71" s="3">
        <f>I71*H71*E71</f>
        <v/>
      </c>
      <c r="K71" s="3">
        <f>I71*E71+J71</f>
        <v/>
      </c>
    </row>
    <row r="72">
      <c r="A72" t="inlineStr">
        <is>
          <t>O-2071</t>
        </is>
      </c>
      <c r="B72" s="4" t="n">
        <v>45915</v>
      </c>
      <c r="C72" t="inlineStr">
        <is>
          <t>West</t>
        </is>
      </c>
      <c r="D72" t="inlineStr">
        <is>
          <t>P010</t>
        </is>
      </c>
      <c r="E72" t="n">
        <v>10</v>
      </c>
      <c r="F72" s="3">
        <f>VLOOKUP(D72,Products!$A$2:$D$16,3,FALSE)</f>
        <v/>
      </c>
      <c r="G72" s="2">
        <f>VLOOKUP(C72,Regions!$A$2:$C$5,3,FALSE)</f>
        <v/>
      </c>
      <c r="H72" s="2">
        <f>VLOOKUP(C72,Regions!$A$2:$C$5,2,FALSE)</f>
        <v/>
      </c>
      <c r="I72" s="3">
        <f>F72*(1-G72)</f>
        <v/>
      </c>
      <c r="J72" s="3">
        <f>I72*H72*E72</f>
        <v/>
      </c>
      <c r="K72" s="3">
        <f>I72*E72+J72</f>
        <v/>
      </c>
    </row>
    <row r="73">
      <c r="A73" t="inlineStr">
        <is>
          <t>O-2072</t>
        </is>
      </c>
      <c r="B73" s="4" t="n">
        <v>45955</v>
      </c>
      <c r="C73" t="inlineStr">
        <is>
          <t>East</t>
        </is>
      </c>
      <c r="D73" t="inlineStr">
        <is>
          <t>P013</t>
        </is>
      </c>
      <c r="E73" t="n">
        <v>1</v>
      </c>
      <c r="F73" s="3">
        <f>VLOOKUP(D73,Products!$A$2:$D$16,3,FALSE)</f>
        <v/>
      </c>
      <c r="G73" s="2">
        <f>VLOOKUP(C73,Regions!$A$2:$C$5,3,FALSE)</f>
        <v/>
      </c>
      <c r="H73" s="2">
        <f>VLOOKUP(C73,Regions!$A$2:$C$5,2,FALSE)</f>
        <v/>
      </c>
      <c r="I73" s="3">
        <f>F73*(1-G73)</f>
        <v/>
      </c>
      <c r="J73" s="3">
        <f>I73*H73*E73</f>
        <v/>
      </c>
      <c r="K73" s="3">
        <f>I73*E73+J73</f>
        <v/>
      </c>
    </row>
    <row r="74">
      <c r="A74" t="inlineStr">
        <is>
          <t>O-2073</t>
        </is>
      </c>
      <c r="B74" s="4" t="n">
        <v>45666</v>
      </c>
      <c r="C74" t="inlineStr">
        <is>
          <t>South</t>
        </is>
      </c>
      <c r="D74" t="inlineStr">
        <is>
          <t>P003</t>
        </is>
      </c>
      <c r="E74" t="n">
        <v>2</v>
      </c>
      <c r="F74" s="3">
        <f>VLOOKUP(D74,Products!$A$2:$D$16,3,FALSE)</f>
        <v/>
      </c>
      <c r="G74" s="2">
        <f>VLOOKUP(C74,Regions!$A$2:$C$5,3,FALSE)</f>
        <v/>
      </c>
      <c r="H74" s="2">
        <f>VLOOKUP(C74,Regions!$A$2:$C$5,2,FALSE)</f>
        <v/>
      </c>
      <c r="I74" s="3">
        <f>F74*(1-G74)</f>
        <v/>
      </c>
      <c r="J74" s="3">
        <f>I74*H74*E74</f>
        <v/>
      </c>
      <c r="K74" s="3">
        <f>I74*E74+J74</f>
        <v/>
      </c>
    </row>
    <row r="75">
      <c r="A75" t="inlineStr">
        <is>
          <t>O-2074</t>
        </is>
      </c>
      <c r="B75" s="4" t="n">
        <v>45847</v>
      </c>
      <c r="C75" t="inlineStr">
        <is>
          <t>North</t>
        </is>
      </c>
      <c r="D75" t="inlineStr">
        <is>
          <t>P015</t>
        </is>
      </c>
      <c r="E75" t="n">
        <v>2</v>
      </c>
      <c r="F75" s="3">
        <f>VLOOKUP(D75,Products!$A$2:$D$16,3,FALSE)</f>
        <v/>
      </c>
      <c r="G75" s="2">
        <f>VLOOKUP(C75,Regions!$A$2:$C$5,3,FALSE)</f>
        <v/>
      </c>
      <c r="H75" s="2">
        <f>VLOOKUP(C75,Regions!$A$2:$C$5,2,FALSE)</f>
        <v/>
      </c>
      <c r="I75" s="3">
        <f>F75*(1-G75)</f>
        <v/>
      </c>
      <c r="J75" s="3">
        <f>I75*H75*E75</f>
        <v/>
      </c>
      <c r="K75" s="3">
        <f>I75*E75+J75</f>
        <v/>
      </c>
    </row>
    <row r="76">
      <c r="A76" t="inlineStr">
        <is>
          <t>O-2075</t>
        </is>
      </c>
      <c r="B76" s="4" t="n">
        <v>45924</v>
      </c>
      <c r="C76" t="inlineStr">
        <is>
          <t>North</t>
        </is>
      </c>
      <c r="D76" t="inlineStr">
        <is>
          <t>P015</t>
        </is>
      </c>
      <c r="E76" t="n">
        <v>9</v>
      </c>
      <c r="F76" s="3">
        <f>VLOOKUP(D76,Products!$A$2:$D$16,3,FALSE)</f>
        <v/>
      </c>
      <c r="G76" s="2">
        <f>VLOOKUP(C76,Regions!$A$2:$C$5,3,FALSE)</f>
        <v/>
      </c>
      <c r="H76" s="2">
        <f>VLOOKUP(C76,Regions!$A$2:$C$5,2,FALSE)</f>
        <v/>
      </c>
      <c r="I76" s="3">
        <f>F76*(1-G76)</f>
        <v/>
      </c>
      <c r="J76" s="3">
        <f>I76*H76*E76</f>
        <v/>
      </c>
      <c r="K76" s="3">
        <f>I76*E76+J76</f>
        <v/>
      </c>
    </row>
    <row r="77">
      <c r="A77" t="inlineStr">
        <is>
          <t>O-2076</t>
        </is>
      </c>
      <c r="B77" s="4" t="n">
        <v>46000</v>
      </c>
      <c r="C77" t="inlineStr">
        <is>
          <t>North</t>
        </is>
      </c>
      <c r="D77" t="inlineStr">
        <is>
          <t>P005</t>
        </is>
      </c>
      <c r="E77" t="n">
        <v>11</v>
      </c>
      <c r="F77" s="3">
        <f>VLOOKUP(D77,Products!$A$2:$D$16,3,FALSE)</f>
        <v/>
      </c>
      <c r="G77" s="2">
        <f>VLOOKUP(C77,Regions!$A$2:$C$5,3,FALSE)</f>
        <v/>
      </c>
      <c r="H77" s="2">
        <f>VLOOKUP(C77,Regions!$A$2:$C$5,2,FALSE)</f>
        <v/>
      </c>
      <c r="I77" s="3">
        <f>F77*(1-G77)</f>
        <v/>
      </c>
      <c r="J77" s="3">
        <f>I77*H77*E77</f>
        <v/>
      </c>
      <c r="K77" s="3">
        <f>I77*E77+J77</f>
        <v/>
      </c>
    </row>
    <row r="78">
      <c r="A78" t="inlineStr">
        <is>
          <t>O-2077</t>
        </is>
      </c>
      <c r="B78" s="4" t="n">
        <v>45877</v>
      </c>
      <c r="C78" t="inlineStr">
        <is>
          <t>South</t>
        </is>
      </c>
      <c r="D78" t="inlineStr">
        <is>
          <t>P009</t>
        </is>
      </c>
      <c r="E78" t="n">
        <v>8</v>
      </c>
      <c r="F78" s="3">
        <f>VLOOKUP(D78,Products!$A$2:$D$16,3,FALSE)</f>
        <v/>
      </c>
      <c r="G78" s="2">
        <f>VLOOKUP(C78,Regions!$A$2:$C$5,3,FALSE)</f>
        <v/>
      </c>
      <c r="H78" s="2">
        <f>VLOOKUP(C78,Regions!$A$2:$C$5,2,FALSE)</f>
        <v/>
      </c>
      <c r="I78" s="3">
        <f>F78*(1-G78)</f>
        <v/>
      </c>
      <c r="J78" s="3">
        <f>I78*H78*E78</f>
        <v/>
      </c>
      <c r="K78" s="3">
        <f>I78*E78+J78</f>
        <v/>
      </c>
    </row>
    <row r="79">
      <c r="A79" t="inlineStr">
        <is>
          <t>O-2078</t>
        </is>
      </c>
      <c r="B79" s="4" t="n">
        <v>45764</v>
      </c>
      <c r="C79" t="inlineStr">
        <is>
          <t>South</t>
        </is>
      </c>
      <c r="D79" t="inlineStr">
        <is>
          <t>P007</t>
        </is>
      </c>
      <c r="E79" t="n">
        <v>12</v>
      </c>
      <c r="F79" s="3">
        <f>VLOOKUP(D79,Products!$A$2:$D$16,3,FALSE)</f>
        <v/>
      </c>
      <c r="G79" s="2">
        <f>VLOOKUP(C79,Regions!$A$2:$C$5,3,FALSE)</f>
        <v/>
      </c>
      <c r="H79" s="2">
        <f>VLOOKUP(C79,Regions!$A$2:$C$5,2,FALSE)</f>
        <v/>
      </c>
      <c r="I79" s="3">
        <f>F79*(1-G79)</f>
        <v/>
      </c>
      <c r="J79" s="3">
        <f>I79*H79*E79</f>
        <v/>
      </c>
      <c r="K79" s="3">
        <f>I79*E79+J79</f>
        <v/>
      </c>
    </row>
    <row r="80">
      <c r="A80" t="inlineStr">
        <is>
          <t>O-2079</t>
        </is>
      </c>
      <c r="B80" s="4" t="n">
        <v>45752</v>
      </c>
      <c r="C80" t="inlineStr">
        <is>
          <t>North</t>
        </is>
      </c>
      <c r="D80" t="inlineStr">
        <is>
          <t>P007</t>
        </is>
      </c>
      <c r="E80" t="n">
        <v>5</v>
      </c>
      <c r="F80" s="3">
        <f>VLOOKUP(D80,Products!$A$2:$D$16,3,FALSE)</f>
        <v/>
      </c>
      <c r="G80" s="2">
        <f>VLOOKUP(C80,Regions!$A$2:$C$5,3,FALSE)</f>
        <v/>
      </c>
      <c r="H80" s="2">
        <f>VLOOKUP(C80,Regions!$A$2:$C$5,2,FALSE)</f>
        <v/>
      </c>
      <c r="I80" s="3">
        <f>F80*(1-G80)</f>
        <v/>
      </c>
      <c r="J80" s="3">
        <f>I80*H80*E80</f>
        <v/>
      </c>
      <c r="K80" s="3">
        <f>I80*E80+J80</f>
        <v/>
      </c>
    </row>
    <row r="81">
      <c r="A81" t="inlineStr">
        <is>
          <t>O-2080</t>
        </is>
      </c>
      <c r="B81" s="4" t="n">
        <v>45858</v>
      </c>
      <c r="C81" t="inlineStr">
        <is>
          <t>North</t>
        </is>
      </c>
      <c r="D81" t="inlineStr">
        <is>
          <t>P003</t>
        </is>
      </c>
      <c r="E81" t="n">
        <v>12</v>
      </c>
      <c r="F81" s="3">
        <f>VLOOKUP(D81,Products!$A$2:$D$16,3,FALSE)</f>
        <v/>
      </c>
      <c r="G81" s="2">
        <f>VLOOKUP(C81,Regions!$A$2:$C$5,3,FALSE)</f>
        <v/>
      </c>
      <c r="H81" s="2">
        <f>VLOOKUP(C81,Regions!$A$2:$C$5,2,FALSE)</f>
        <v/>
      </c>
      <c r="I81" s="3">
        <f>F81*(1-G81)</f>
        <v/>
      </c>
      <c r="J81" s="3">
        <f>I81*H81*E81</f>
        <v/>
      </c>
      <c r="K81" s="3">
        <f>I81*E81+J81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</cols>
  <sheetData>
    <row r="1">
      <c r="A1" s="1" t="inlineStr">
        <is>
          <t>Region</t>
        </is>
      </c>
      <c r="B1" s="1" t="inlineStr">
        <is>
          <t>OrderCount</t>
        </is>
      </c>
      <c r="C1" s="1" t="inlineStr">
        <is>
          <t>Revenue</t>
        </is>
      </c>
    </row>
    <row r="2">
      <c r="A2" t="inlineStr">
        <is>
          <t>North</t>
        </is>
      </c>
      <c r="B2">
        <f>COUNTIF(Orders!$C$2:$C$81,A2)</f>
        <v/>
      </c>
      <c r="C2" s="3">
        <f>SUMIF(Orders!$C$2:$C$81,A2,Orders!$K$2:$K$81)</f>
        <v/>
      </c>
    </row>
    <row r="3">
      <c r="A3" t="inlineStr">
        <is>
          <t>South</t>
        </is>
      </c>
      <c r="B3">
        <f>COUNTIF(Orders!$C$2:$C$81,A3)</f>
        <v/>
      </c>
      <c r="C3" s="3">
        <f>SUMIF(Orders!$C$2:$C$81,A3,Orders!$K$2:$K$81)</f>
        <v/>
      </c>
    </row>
    <row r="4">
      <c r="A4" t="inlineStr">
        <is>
          <t>East</t>
        </is>
      </c>
      <c r="B4">
        <f>COUNTIF(Orders!$C$2:$C$81,A4)</f>
        <v/>
      </c>
      <c r="C4" s="3">
        <f>SUMIF(Orders!$C$2:$C$81,A4,Orders!$K$2:$K$81)</f>
        <v/>
      </c>
    </row>
    <row r="5">
      <c r="A5" t="inlineStr">
        <is>
          <t>West</t>
        </is>
      </c>
      <c r="B5">
        <f>COUNTIF(Orders!$C$2:$C$81,A5)</f>
        <v/>
      </c>
      <c r="C5" s="3">
        <f>SUMIF(Orders!$C$2:$C$81,A5,Orders!$K$2:$K$81)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2026-03-10T18:54:38Z</dcterms:created>
  <dcterms:modified xmlns:dcterms="http://purl.org/dc/terms/" xmlns:xsi="http://www.w3.org/2001/XMLSchema-instance" xsi:type="dcterms:W3CDTF">2026-03-10T18:54:38Z</dcterms:modified>
</cp:coreProperties>
</file>